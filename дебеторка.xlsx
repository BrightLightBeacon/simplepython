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plepython\"/>
    </mc:Choice>
  </mc:AlternateContent>
  <xr:revisionPtr revIDLastSave="0" documentId="13_ncr:1_{C7793B85-9324-4E82-BDD0-5A071AC9864E}" xr6:coauthVersionLast="47" xr6:coauthVersionMax="47" xr10:uidLastSave="{00000000-0000-0000-0000-000000000000}"/>
  <bookViews>
    <workbookView xWindow="-98" yWindow="-98" windowWidth="28996" windowHeight="14386" xr2:uid="{7D05D760-E367-4CEE-BD76-DFCA9618AD5F}"/>
  </bookViews>
  <sheets>
    <sheet name="Дебетови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1" l="1"/>
  <c r="C32" i="1"/>
  <c r="D32" i="1"/>
  <c r="F32" i="1"/>
  <c r="V32" i="1"/>
  <c r="W32" i="1" s="1"/>
  <c r="E50" i="1"/>
  <c r="E51" i="1"/>
  <c r="E52" i="1"/>
  <c r="E53" i="1"/>
  <c r="E56" i="1"/>
  <c r="E33" i="1"/>
  <c r="C50" i="1"/>
  <c r="D50" i="1"/>
  <c r="V50" i="1"/>
  <c r="W50" i="1" s="1"/>
  <c r="C51" i="1"/>
  <c r="D51" i="1"/>
  <c r="F51" i="1"/>
  <c r="V51" i="1"/>
  <c r="W51" i="1" s="1"/>
  <c r="C52" i="1"/>
  <c r="D52" i="1"/>
  <c r="F52" i="1"/>
  <c r="V52" i="1"/>
  <c r="W52" i="1" s="1"/>
  <c r="C53" i="1"/>
  <c r="D53" i="1"/>
  <c r="F53" i="1"/>
  <c r="V53" i="1"/>
  <c r="W53" i="1" s="1"/>
  <c r="C54" i="1"/>
  <c r="D54" i="1"/>
  <c r="F54" i="1"/>
  <c r="E54" i="1"/>
  <c r="V54" i="1"/>
  <c r="W54" i="1" s="1"/>
  <c r="C55" i="1"/>
  <c r="D55" i="1"/>
  <c r="F55" i="1"/>
  <c r="E55" i="1"/>
  <c r="V55" i="1"/>
  <c r="W55" i="1" s="1"/>
  <c r="C56" i="1"/>
  <c r="D56" i="1"/>
  <c r="F56" i="1"/>
  <c r="V56" i="1"/>
  <c r="W56" i="1" s="1"/>
  <c r="D15" i="1"/>
  <c r="C33" i="1"/>
  <c r="D33" i="1"/>
  <c r="F33" i="1"/>
  <c r="V33" i="1"/>
  <c r="W33" i="1" s="1"/>
  <c r="F19" i="1"/>
  <c r="F20" i="1"/>
  <c r="F21" i="1"/>
  <c r="E32" i="1" l="1"/>
  <c r="C41" i="1"/>
  <c r="D41" i="1"/>
  <c r="F41" i="1"/>
  <c r="E41" i="1"/>
  <c r="V41" i="1"/>
  <c r="W41" i="1" s="1"/>
  <c r="C42" i="1"/>
  <c r="D42" i="1"/>
  <c r="F42" i="1"/>
  <c r="E42" i="1"/>
  <c r="V42" i="1"/>
  <c r="W42" i="1" s="1"/>
  <c r="C43" i="1"/>
  <c r="D43" i="1"/>
  <c r="F43" i="1"/>
  <c r="E43" i="1"/>
  <c r="V43" i="1"/>
  <c r="W43" i="1" s="1"/>
  <c r="C44" i="1"/>
  <c r="D44" i="1"/>
  <c r="E44" i="1"/>
  <c r="F44" i="1"/>
  <c r="V44" i="1"/>
  <c r="W44" i="1" s="1"/>
  <c r="C49" i="1"/>
  <c r="F49" i="1"/>
  <c r="E49" i="1"/>
  <c r="V49" i="1"/>
  <c r="W49" i="1" s="1"/>
  <c r="C45" i="1"/>
  <c r="D45" i="1"/>
  <c r="F45" i="1"/>
  <c r="E45" i="1"/>
  <c r="V45" i="1"/>
  <c r="W45" i="1" s="1"/>
  <c r="C46" i="1"/>
  <c r="D46" i="1"/>
  <c r="F46" i="1"/>
  <c r="E46" i="1"/>
  <c r="V46" i="1"/>
  <c r="W46" i="1" s="1"/>
  <c r="C47" i="1"/>
  <c r="D47" i="1"/>
  <c r="F47" i="1"/>
  <c r="E47" i="1"/>
  <c r="V47" i="1"/>
  <c r="W47" i="1" s="1"/>
  <c r="C48" i="1"/>
  <c r="D48" i="1"/>
  <c r="F48" i="1"/>
  <c r="E48" i="1"/>
  <c r="V48" i="1"/>
  <c r="W48" i="1" s="1"/>
  <c r="C57" i="1"/>
  <c r="D57" i="1"/>
  <c r="F57" i="1"/>
  <c r="E57" i="1"/>
  <c r="V57" i="1"/>
  <c r="W57" i="1" s="1"/>
  <c r="C58" i="1"/>
  <c r="D58" i="1"/>
  <c r="F58" i="1"/>
  <c r="E58" i="1"/>
  <c r="V58" i="1"/>
  <c r="W58" i="1" s="1"/>
  <c r="C59" i="1"/>
  <c r="D59" i="1"/>
  <c r="F59" i="1"/>
  <c r="E59" i="1"/>
  <c r="V59" i="1"/>
  <c r="W59" i="1" s="1"/>
  <c r="C39" i="1"/>
  <c r="D39" i="1"/>
  <c r="F39" i="1"/>
  <c r="E39" i="1"/>
  <c r="V39" i="1"/>
  <c r="W39" i="1" s="1"/>
  <c r="C40" i="1"/>
  <c r="D40" i="1"/>
  <c r="F40" i="1"/>
  <c r="E40" i="1"/>
  <c r="V40" i="1"/>
  <c r="W40" i="1" s="1"/>
  <c r="F37" i="1"/>
  <c r="V37" i="1"/>
  <c r="W37" i="1" s="1"/>
  <c r="D35" i="1"/>
  <c r="C35" i="1"/>
  <c r="D11" i="1"/>
  <c r="C30" i="1" l="1"/>
  <c r="D30" i="1"/>
  <c r="F30" i="1"/>
  <c r="E30" i="1"/>
  <c r="V30" i="1"/>
  <c r="W30" i="1" s="1"/>
  <c r="C31" i="1"/>
  <c r="D31" i="1"/>
  <c r="F31" i="1"/>
  <c r="E31" i="1"/>
  <c r="V31" i="1"/>
  <c r="W31" i="1" s="1"/>
  <c r="C34" i="1"/>
  <c r="D34" i="1"/>
  <c r="E34" i="1"/>
  <c r="F34" i="1"/>
  <c r="V34" i="1"/>
  <c r="W34" i="1" s="1"/>
  <c r="F35" i="1"/>
  <c r="E35" i="1"/>
  <c r="V35" i="1"/>
  <c r="W35" i="1" s="1"/>
  <c r="C36" i="1"/>
  <c r="D36" i="1"/>
  <c r="F36" i="1"/>
  <c r="E36" i="1"/>
  <c r="V36" i="1"/>
  <c r="W36" i="1" s="1"/>
  <c r="E6" i="1"/>
  <c r="E9" i="1"/>
  <c r="C5" i="1" l="1"/>
  <c r="D5" i="1"/>
  <c r="F5" i="1"/>
  <c r="E5" i="1"/>
  <c r="V5" i="1"/>
  <c r="W5" i="1" s="1"/>
  <c r="C6" i="1"/>
  <c r="D6" i="1"/>
  <c r="F6" i="1"/>
  <c r="V6" i="1"/>
  <c r="W6" i="1" s="1"/>
  <c r="C38" i="1"/>
  <c r="D38" i="1"/>
  <c r="F38" i="1"/>
  <c r="E38" i="1"/>
  <c r="V38" i="1"/>
  <c r="W38" i="1" s="1"/>
  <c r="E22" i="1" l="1"/>
  <c r="E2" i="1"/>
  <c r="E16" i="1"/>
  <c r="E4" i="1"/>
  <c r="E7" i="1"/>
  <c r="E8" i="1"/>
  <c r="E10" i="1"/>
  <c r="E11" i="1"/>
  <c r="E12" i="1"/>
  <c r="E3" i="1"/>
  <c r="E13" i="1"/>
  <c r="E15" i="1"/>
  <c r="E17" i="1"/>
  <c r="E18" i="1"/>
  <c r="E19" i="1"/>
  <c r="E20" i="1"/>
  <c r="E21" i="1"/>
  <c r="E25" i="1"/>
  <c r="E23" i="1"/>
  <c r="E24" i="1"/>
  <c r="E28" i="1"/>
  <c r="E26" i="1"/>
  <c r="E27" i="1"/>
  <c r="E14" i="1"/>
  <c r="E29" i="1"/>
  <c r="V16" i="1"/>
  <c r="W16" i="1" s="1"/>
  <c r="V4" i="1"/>
  <c r="W4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3" i="1"/>
  <c r="W3" i="1" s="1"/>
  <c r="V13" i="1"/>
  <c r="W13" i="1" s="1"/>
  <c r="V15" i="1"/>
  <c r="W15" i="1" s="1"/>
  <c r="V17" i="1"/>
  <c r="W17" i="1" s="1"/>
  <c r="V18" i="1"/>
  <c r="W18" i="1" s="1"/>
  <c r="V19" i="1"/>
  <c r="W19" i="1" s="1"/>
  <c r="V20" i="1"/>
  <c r="W20" i="1" s="1"/>
  <c r="V22" i="1"/>
  <c r="W22" i="1" s="1"/>
  <c r="V21" i="1"/>
  <c r="W21" i="1" s="1"/>
  <c r="V25" i="1"/>
  <c r="W25" i="1" s="1"/>
  <c r="V23" i="1"/>
  <c r="W23" i="1" s="1"/>
  <c r="V24" i="1"/>
  <c r="W24" i="1" s="1"/>
  <c r="V28" i="1"/>
  <c r="W28" i="1" s="1"/>
  <c r="V26" i="1"/>
  <c r="W26" i="1" s="1"/>
  <c r="V27" i="1"/>
  <c r="W27" i="1" s="1"/>
  <c r="V14" i="1"/>
  <c r="W14" i="1" s="1"/>
  <c r="V29" i="1"/>
  <c r="W29" i="1" s="1"/>
  <c r="F16" i="1"/>
  <c r="F4" i="1"/>
  <c r="F7" i="1"/>
  <c r="F8" i="1"/>
  <c r="F9" i="1"/>
  <c r="F10" i="1"/>
  <c r="F11" i="1"/>
  <c r="F12" i="1"/>
  <c r="F3" i="1"/>
  <c r="F13" i="1"/>
  <c r="F15" i="1"/>
  <c r="F17" i="1"/>
  <c r="F18" i="1"/>
  <c r="F22" i="1"/>
  <c r="F25" i="1"/>
  <c r="F23" i="1"/>
  <c r="F24" i="1"/>
  <c r="F28" i="1"/>
  <c r="F26" i="1"/>
  <c r="F27" i="1"/>
  <c r="F14" i="1"/>
  <c r="F29" i="1"/>
  <c r="D16" i="1"/>
  <c r="D4" i="1"/>
  <c r="D7" i="1"/>
  <c r="D8" i="1"/>
  <c r="D9" i="1"/>
  <c r="D10" i="1"/>
  <c r="D12" i="1"/>
  <c r="D3" i="1"/>
  <c r="D13" i="1"/>
  <c r="D17" i="1"/>
  <c r="D18" i="1"/>
  <c r="D19" i="1"/>
  <c r="D20" i="1"/>
  <c r="D22" i="1"/>
  <c r="D21" i="1"/>
  <c r="D25" i="1"/>
  <c r="D23" i="1"/>
  <c r="D24" i="1"/>
  <c r="D28" i="1"/>
  <c r="D26" i="1"/>
  <c r="D27" i="1"/>
  <c r="D14" i="1"/>
  <c r="D29" i="1"/>
  <c r="C16" i="1"/>
  <c r="C4" i="1"/>
  <c r="C7" i="1"/>
  <c r="C8" i="1"/>
  <c r="C9" i="1"/>
  <c r="C10" i="1"/>
  <c r="C11" i="1"/>
  <c r="C12" i="1"/>
  <c r="C3" i="1"/>
  <c r="C13" i="1"/>
  <c r="C15" i="1"/>
  <c r="C17" i="1"/>
  <c r="C18" i="1"/>
  <c r="C19" i="1"/>
  <c r="C20" i="1"/>
  <c r="C22" i="1"/>
  <c r="C21" i="1"/>
  <c r="C25" i="1"/>
  <c r="C23" i="1"/>
  <c r="C24" i="1"/>
  <c r="C28" i="1"/>
  <c r="C26" i="1"/>
  <c r="C27" i="1"/>
  <c r="C14" i="1"/>
  <c r="C29" i="1"/>
  <c r="V2" i="1"/>
  <c r="T60" i="1"/>
  <c r="F2" i="1"/>
  <c r="C2" i="1"/>
  <c r="D2" i="1"/>
  <c r="V60" i="1" l="1"/>
  <c r="W2" i="1"/>
  <c r="W60" i="1" s="1"/>
</calcChain>
</file>

<file path=xl/sharedStrings.xml><?xml version="1.0" encoding="utf-8"?>
<sst xmlns="http://schemas.openxmlformats.org/spreadsheetml/2006/main" count="422" uniqueCount="187">
  <si>
    <t>рахунок</t>
  </si>
  <si>
    <t>навантаження дата</t>
  </si>
  <si>
    <t>розвантаження дата</t>
  </si>
  <si>
    <t>авто</t>
  </si>
  <si>
    <t>причіп</t>
  </si>
  <si>
    <t>водій</t>
  </si>
  <si>
    <t>нотатка</t>
  </si>
  <si>
    <t>ціна за тонну з ПДВ</t>
  </si>
  <si>
    <t>ціна за тонну без ПДВ</t>
  </si>
  <si>
    <t>сума з ПДВ</t>
  </si>
  <si>
    <t>сума без ПДВ</t>
  </si>
  <si>
    <t>наявність ттн офіс</t>
  </si>
  <si>
    <t>номер ттн</t>
  </si>
  <si>
    <t>номернклатура (вантаж, маршрут)</t>
  </si>
  <si>
    <t>номенклатура (вантаж, маршрут, авто, причіп, водій)</t>
  </si>
  <si>
    <t>маршрут згідно товаро-транспортній накладній</t>
  </si>
  <si>
    <t>ПРИКЛАД</t>
  </si>
  <si>
    <t>BA4358HB</t>
  </si>
  <si>
    <t>AX4496XF</t>
  </si>
  <si>
    <t>Боіштян О.О.</t>
  </si>
  <si>
    <t>кукурдзи</t>
  </si>
  <si>
    <t>с. Братолюбівка, Кропивницький р-н., Кіровоградська обл. – порт Південний</t>
  </si>
  <si>
    <t>вага загальна до рахунку</t>
  </si>
  <si>
    <t>вантаж (родовий відмінок)</t>
  </si>
  <si>
    <t>товариство</t>
  </si>
  <si>
    <t>Загалом</t>
  </si>
  <si>
    <t>розвантаження вага тонни</t>
  </si>
  <si>
    <t>навантаження вага тонни</t>
  </si>
  <si>
    <t>BA2215CB</t>
  </si>
  <si>
    <t>ВA8142XР</t>
  </si>
  <si>
    <t>Карман В. Ю.</t>
  </si>
  <si>
    <t>пшениці</t>
  </si>
  <si>
    <t>замовник</t>
  </si>
  <si>
    <t>РОМИР-ТРЕЙД</t>
  </si>
  <si>
    <t>BA1141 BM</t>
  </si>
  <si>
    <t>ВА6104ХР</t>
  </si>
  <si>
    <t>Стеценко О.А.</t>
  </si>
  <si>
    <t>с. Димине, Кропивницький район, Кіровоградська область -ТОВ «ТІС-Міндобрива», порт Південний, причал №17</t>
  </si>
  <si>
    <t>с. Димине, Кроповницький район, Кіровоградська область -ТОВ «ТІС-Міндобрива», порт Південний, причал №17</t>
  </si>
  <si>
    <t>Вікторія-Агро</t>
  </si>
  <si>
    <t>ВА2215СВ</t>
  </si>
  <si>
    <t>ВА8142ХР</t>
  </si>
  <si>
    <t>ВА1144ВМ</t>
  </si>
  <si>
    <t>АХ3947ХМ</t>
  </si>
  <si>
    <t>СоколенкоВ.С.</t>
  </si>
  <si>
    <t>ФАЛЬКОН-АГРО</t>
  </si>
  <si>
    <t>BA5530EX</t>
  </si>
  <si>
    <t>BA2657XF</t>
  </si>
  <si>
    <t>Лазарчук О.І.</t>
  </si>
  <si>
    <t>26.96</t>
  </si>
  <si>
    <t>ВА5530ЕХ</t>
  </si>
  <si>
    <t>Черкаська обл. Уманьський район, село Острожани-Кіровоградська обл., м. Кропивницький, смт.Нове, вул.Ливарна, 10</t>
  </si>
  <si>
    <t>сої</t>
  </si>
  <si>
    <t>BA5391EO</t>
  </si>
  <si>
    <t>BA2471XO</t>
  </si>
  <si>
    <t>Ткаченко О.Б.</t>
  </si>
  <si>
    <t>шроту</t>
  </si>
  <si>
    <t>ФОН-САН</t>
  </si>
  <si>
    <t>м. Кропивницький, смт. Нове, вул. Ливарна, 10- Кіровоградська обл., Кропивницький район, с. Сонячне</t>
  </si>
  <si>
    <t>на ттн не вказано розвантаження</t>
  </si>
  <si>
    <t>Гаморя О.В.</t>
  </si>
  <si>
    <t>BA0933НС</t>
  </si>
  <si>
    <t>BA4176XF</t>
  </si>
  <si>
    <t>с. Димине, Кропівницький район, Кіровоградська область-порт Південний, причал №17</t>
  </si>
  <si>
    <t>BA5530ЕX</t>
  </si>
  <si>
    <t>ВА0251 НЕ</t>
  </si>
  <si>
    <t>ВА4672ХO</t>
  </si>
  <si>
    <t>Дяченко О. Ю.</t>
  </si>
  <si>
    <t>19/06-2</t>
  </si>
  <si>
    <t>Карман В.Ю.,</t>
  </si>
  <si>
    <t>BA2215СВ</t>
  </si>
  <si>
    <t>2 ттн зв*язані одна на загрузку 2 на вигрузку</t>
  </si>
  <si>
    <t>Карман В.Ю.</t>
  </si>
  <si>
    <t>ПШ200479</t>
  </si>
  <si>
    <t>УДС АГРО</t>
  </si>
  <si>
    <t>Тертиця В.М.</t>
  </si>
  <si>
    <t>ВА 7225ВК</t>
  </si>
  <si>
    <t>ВА 4621XF</t>
  </si>
  <si>
    <t>готівка</t>
  </si>
  <si>
    <t>Сумська обл-ть, Краснопільський р-н, с.Краспопілля-Одеський Морський Торгівельний Порт</t>
  </si>
  <si>
    <t>Шевельов О.І.</t>
  </si>
  <si>
    <t>ВА3334АВ</t>
  </si>
  <si>
    <t>Кіровоградська обл., Кропивницький р-н, с. Веселівка, вул. Гречана-Одеська область, Одеський р-н, с-ще Нові Білярі</t>
  </si>
  <si>
    <t>BA4673XO</t>
  </si>
  <si>
    <t>АГРИТЕК</t>
  </si>
  <si>
    <t>Бабак Р.М</t>
  </si>
  <si>
    <t>ячменю</t>
  </si>
  <si>
    <t>ВА 9737ЕО</t>
  </si>
  <si>
    <t>ВА 2192 ХЕ</t>
  </si>
  <si>
    <t>с. Васютинці, Черкаська обл.-Одеська обл., 1-й км Автодороги порту "Південний"</t>
  </si>
  <si>
    <t>ВА1141ВМ</t>
  </si>
  <si>
    <t>ВА972ВЕО</t>
  </si>
  <si>
    <t>AX4497XF</t>
  </si>
  <si>
    <t>Гладир А. М.</t>
  </si>
  <si>
    <t>ДІЛЕКС ГРЕЙН</t>
  </si>
  <si>
    <t>Кіровоградська обл., Новоукраїнський р-н, місто Мала Виска, вул.Велігіна-Одеська обл., порт Південний, причал № 18</t>
  </si>
  <si>
    <t>BA9983EO</t>
  </si>
  <si>
    <t>BA5530XF</t>
  </si>
  <si>
    <t>Протасов О.Г.</t>
  </si>
  <si>
    <t>Стеценко О. А.</t>
  </si>
  <si>
    <t>BA1141ВМ</t>
  </si>
  <si>
    <t>19.06.2026.</t>
  </si>
  <si>
    <t>BA4068BX</t>
  </si>
  <si>
    <t>BA3102XO</t>
  </si>
  <si>
    <t>Липа А.С.</t>
  </si>
  <si>
    <t>ВА0933НС</t>
  </si>
  <si>
    <t>ВA4176XР</t>
  </si>
  <si>
    <t>ВА0251НЕ</t>
  </si>
  <si>
    <t>ВА4672ХО</t>
  </si>
  <si>
    <t>ПШ200480</t>
  </si>
  <si>
    <t>BA0286CC</t>
  </si>
  <si>
    <t>ВА4671ХО</t>
  </si>
  <si>
    <t>Ракул К.Ю.</t>
  </si>
  <si>
    <t>Сумеька обл-ть, Краснопільський р-н, с. Краспопілля-Одеський Морський Торгівельний Порт</t>
  </si>
  <si>
    <t>ЗЕТТРА</t>
  </si>
  <si>
    <t>BA4358НВ</t>
  </si>
  <si>
    <t>м. Кропивницький, смт. Нове, вул. Ливарна, 10-Черкаська обл., Уманський рн, с. Скибин, вул. Героїв Небесної Сотні, 100</t>
  </si>
  <si>
    <t>ВА2657XF</t>
  </si>
  <si>
    <t>АХ4497ХА</t>
  </si>
  <si>
    <t>ВА9728ЕО</t>
  </si>
  <si>
    <t>Кіровоградська обл., Кропивницький р-н, с. Веселівка, вул. Гречана -Одеська область, Одеський р-н, с-ще Нові Білярі</t>
  </si>
  <si>
    <t>Кровоградська обл., Кропивницький р-н, с. Веселівка, вул. Гречана-Одеська область, Одеський р-н, с-ще Нові Білярі</t>
  </si>
  <si>
    <t>TE-1064216</t>
  </si>
  <si>
    <t>ФІРМА ЕРІДОН</t>
  </si>
  <si>
    <t>BA9731ЕО</t>
  </si>
  <si>
    <t>BA2192XF</t>
  </si>
  <si>
    <t>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</t>
  </si>
  <si>
    <t>TE-1064219</t>
  </si>
  <si>
    <t>TE-1064226</t>
  </si>
  <si>
    <t>BA0933HC</t>
  </si>
  <si>
    <t>Рябовал Р.В.</t>
  </si>
  <si>
    <t>ВА4171СС</t>
  </si>
  <si>
    <t>ВА7851ХР</t>
  </si>
  <si>
    <t>АТК"ЗЕРНОВА"</t>
  </si>
  <si>
    <t>АТК326-184</t>
  </si>
  <si>
    <t>BA9728EO</t>
  </si>
  <si>
    <t>АТК326-188</t>
  </si>
  <si>
    <t>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</t>
  </si>
  <si>
    <t>АТК326-189</t>
  </si>
  <si>
    <t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</t>
  </si>
  <si>
    <t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Приютівка,, автомобіль BA4358HB, причіп AX4496XF, водій Боіштян О.О.</t>
  </si>
  <si>
    <t/>
  </si>
  <si>
    <t>ВА9258ЕК</t>
  </si>
  <si>
    <t>АХ5297ХО</t>
  </si>
  <si>
    <t>Соловей О.С.</t>
  </si>
  <si>
    <t>Кровоградська обл., Кропивницький р-н, с. Оситняжка- порт Південний, причал №16</t>
  </si>
  <si>
    <t>Кровоградська обл., Кропивницький р-н, с. Оситняжка- порт Південний, причал №17</t>
  </si>
  <si>
    <t>Кровоградська обл., Кропивницький р-н, с. Оситняжка- порт Південний, причал №18</t>
  </si>
  <si>
    <t>ВАВ142ХР</t>
  </si>
  <si>
    <t>ВА7225ВК</t>
  </si>
  <si>
    <t>BA4621XF</t>
  </si>
  <si>
    <t>Кровоградська обл., Кропивницький р-н, с. Оситняжка- порт Південний, причал №19</t>
  </si>
  <si>
    <t>Кровоградська обл., Кропивницький р-н, с. Оситняжка- порт Південний, причал №20</t>
  </si>
  <si>
    <t>BA1141BM</t>
  </si>
  <si>
    <t>ВA6104ХР</t>
  </si>
  <si>
    <t>TE-1064233</t>
  </si>
  <si>
    <t>ВА9983ЕО</t>
  </si>
  <si>
    <t>ВА5530ХF</t>
  </si>
  <si>
    <t>добрив</t>
  </si>
  <si>
    <t>к</t>
  </si>
  <si>
    <t>BA1144ВМ</t>
  </si>
  <si>
    <t>АX3947XМ</t>
  </si>
  <si>
    <t>Соколенко В.С.</t>
  </si>
  <si>
    <t>Кіровоградська обл., Кропивницький р-н, с. Оситняжка-порт Південний, причал №16</t>
  </si>
  <si>
    <t>ПП "ВІКТОР I К"</t>
  </si>
  <si>
    <t>с. Власівка, Олександрійський р-н, Кіровоградська обл.- Одеська область, Одеський район, сільська рада Визирська</t>
  </si>
  <si>
    <t>ВА9731ЕО</t>
  </si>
  <si>
    <t>Кіровоградська обл., Кропивницький р-н, с. Оситняжка-порт Південний, причал №17</t>
  </si>
  <si>
    <t>Кіровоградська обл., Кропивницький р-н, с. Оситняжка-порт Південний, причал №18</t>
  </si>
  <si>
    <t>не видно що перевозили та розвантаження рахунок вони зроблять самі   :)</t>
  </si>
  <si>
    <t>РАДВІДЖН</t>
  </si>
  <si>
    <t>BA4671XO</t>
  </si>
  <si>
    <t>Кіровоградська область, Кропивницький район, село Бережинка - Кіровоградська обл., м. Кропивницький, смт.Нове</t>
  </si>
  <si>
    <t>BA8142XP</t>
  </si>
  <si>
    <t xml:space="preserve"> Карман В.Ю.</t>
  </si>
  <si>
    <t>УКРАГРОПРАЙД</t>
  </si>
  <si>
    <t>ВА 2192ХF</t>
  </si>
  <si>
    <t>Кіровоградська обл. Гайворонський р-н, смт. Сальково-ОМТ порт через ТОВ Одесса Ленд Компані</t>
  </si>
  <si>
    <t>BA1144BM</t>
  </si>
  <si>
    <t>AX3947XM</t>
  </si>
  <si>
    <t>Кіровоградська обл м. Кропивницький-Київська обл, с. Зазим'я</t>
  </si>
  <si>
    <t>гранульованої кормової добавки</t>
  </si>
  <si>
    <t>ТРІУМФ ФІД</t>
  </si>
  <si>
    <t>не зрозуміло з якою вагою розвантаження</t>
  </si>
  <si>
    <t>Дяченко О.Ю.</t>
  </si>
  <si>
    <t>накази та цпх</t>
  </si>
  <si>
    <t>ЗІАВТОТРАНС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</si>
</sst>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4" fillId="0" borderId="0" xfId="0" applyFont="1"/>
    <xf numFmtId="2" fontId="0" fillId="0" borderId="0" xfId="0" applyNumberFormat="1" applyAlignment="1">
      <alignment horizontal="right"/>
    </xf>
    <xf numFmtId="14" fontId="0" fillId="0" borderId="0" xfId="0" quotePrefix="1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font>
        <b val="0"/>
      </font>
      <numFmt numFmtId="2" formatCode="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C3FE4-C972-4EBE-A59C-DE3FAFB6B53C}" name="Table1" displayName="Table1" ref="A1:W60" totalsRowCount="1">
  <tableColumns count="23">
    <tableColumn id="19" xr3:uid="{CE7D7A56-2867-4113-BEA2-2556E2366495}" name="накази та цпх" dataDxfId="17" totalsRowDxfId="16"/>
    <tableColumn id="1" xr3:uid="{DFB1DB8B-6D9B-49C4-89E7-3347623EBB8F}" name="нотатка" totalsRowLabel="Загалом" dataDxfId="15" totalsRowDxfId="14"/>
    <tableColumn id="23" xr3:uid="{8F6734DD-A9B1-40DB-BBE5-83091D398B44}" name="номернклатура (вантаж, маршрут)" dataDxfId="13">
      <calculatedColumnFormula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calculatedColumnFormula>
    </tableColumn>
    <tableColumn id="22" xr3:uid="{C1909F87-8435-4E72-8036-983D05FC70A2}" name="номенклатура (вантаж, маршрут, авто, причіп, водій)" dataDxfId="12">
      <calculatedColumnFormula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calculatedColumnFormula>
    </tableColumn>
    <tableColumn id="25" xr3:uid="{4391925A-EF84-4D35-95B4-EB15C6302FBE}" name="вага загальна до рахунку" dataDxfId="11" totalsRowDxfId="10">
      <calculatedColumnFormula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calculatedColumnFormula>
    </tableColumn>
    <tableColumn id="14" xr3:uid="{4A12C982-6778-41BD-BCDD-8CF6D1227AED}" name="ціна за тонну без ПДВ" dataDxfId="9">
      <calculatedColumnFormula>IF(Table1[[#This Row],[ціна за тонну з ПДВ]]/1.2=0, "", Table1[[#This Row],[ціна за тонну з ПДВ]]/1.2)</calculatedColumnFormula>
    </tableColumn>
    <tableColumn id="2" xr3:uid="{1EAB3D95-7280-4FB8-A4D2-6BA7B217D243}" name="рахунок" dataDxfId="8">
      <calculatedColumnFormula>""</calculatedColumnFormula>
    </tableColumn>
    <tableColumn id="3" xr3:uid="{79A06E1C-B3EA-4A09-825F-A65CB4DF8FC9}" name="наявність ттн офіс"/>
    <tableColumn id="27" xr3:uid="{157AF330-BCCC-4CBD-9688-5EB144BE30F0}" name="товариство"/>
    <tableColumn id="18" xr3:uid="{039A50B9-DA25-4627-8311-CEB29A4A6D2E}" name="замовник"/>
    <tableColumn id="21" xr3:uid="{F15E099A-1503-4CB8-8BA2-1A66A93D8191}" name="номер ттн"/>
    <tableColumn id="4" xr3:uid="{AE1D7F59-ECD2-4C02-971E-173991F8B0FC}" name="навантаження дата" dataDxfId="7"/>
    <tableColumn id="5" xr3:uid="{4AF1B38B-ABD9-4F93-9AF7-C05FD841B379}" name="розвантаження дата" dataDxfId="6"/>
    <tableColumn id="6" xr3:uid="{262ACE03-A001-4FEF-8352-07C5AD9453D9}" name="авто"/>
    <tableColumn id="7" xr3:uid="{E1586D8C-984E-4CAC-B8F6-B48095EB7897}" name="причіп"/>
    <tableColumn id="8" xr3:uid="{59998F9D-0367-40FF-ABA4-9328F3D57B00}" name="водій"/>
    <tableColumn id="9" xr3:uid="{28A37922-319E-44EB-8B11-BA5E6B53569A}" name="маршрут згідно товаро-транспортній накладній"/>
    <tableColumn id="10" xr3:uid="{6177818A-07CF-4602-BB28-B917DBB496BF}" name="вантаж (родовий відмінок)"/>
    <tableColumn id="11" xr3:uid="{2DDFF24E-F72C-4E87-A94B-E7071A9EC8DA}" name="навантаження вага тонни" dataDxfId="5"/>
    <tableColumn id="12" xr3:uid="{D49649F1-7EC7-497D-A60D-C9C7B410835E}" name="розвантаження вага тонни" totalsRowFunction="custom" dataDxfId="4">
      <totalsRowFormula>SUBTOTAL(109, Table1[розвантаження вага тонни])</totalsRowFormula>
    </tableColumn>
    <tableColumn id="13" xr3:uid="{9F79077D-C08D-4306-994F-0B3B916219E7}" name="ціна за тонну з ПДВ" dataDxfId="3"/>
    <tableColumn id="15" xr3:uid="{7B72B004-D4A0-4B4A-B93D-7FF0CA973B12}" name="сума з ПДВ" totalsRowFunction="custom" dataDxfId="2">
      <calculatedColumnFormula>IF(Table1[[#This Row],[розвантаження вага тонни]]*Table1[[#This Row],[ціна за тонну з ПДВ]]=0, "", Table1[[#This Row],[розвантаження вага тонни]]*Table1[[#This Row],[ціна за тонну з ПДВ]])</calculatedColumnFormula>
      <totalsRowFormula>SUBTOTAL(109, Table1[сума з ПДВ])</totalsRowFormula>
    </tableColumn>
    <tableColumn id="16" xr3:uid="{69BDB6D5-3A26-4503-A19D-87584DD2493E}" name="сума без ПДВ" totalsRowFunction="sum" dataDxfId="1" totalsRowDxfId="0">
      <calculatedColumnFormula>IFERROR(IF(Table1[[#This Row],[сума з ПДВ]]/1.2=0, "", Table1[[#This Row],[сума з ПДВ]]/1.2),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78D3-DCEA-44AB-92DE-3616897428FF}">
  <dimension ref="A1:W69"/>
  <sheetViews>
    <sheetView tabSelected="1" zoomScale="98" zoomScaleNormal="98" workbookViewId="0">
      <selection activeCell="H17" sqref="H17"/>
    </sheetView>
  </sheetViews>
  <sheetFormatPr defaultRowHeight="14.25" x14ac:dyDescent="0.45"/>
  <cols>
    <col min="1" max="2" width="9.86328125" customWidth="1"/>
    <col min="4" max="5" width="9.86328125" customWidth="1"/>
    <col min="6" max="6" width="9" style="4"/>
    <col min="7" max="7" width="7.86328125" customWidth="1"/>
    <col min="8" max="8" width="10.86328125" customWidth="1"/>
    <col min="9" max="9" width="9.86328125" customWidth="1"/>
    <col min="10" max="10" width="3.1328125" bestFit="1" customWidth="1"/>
    <col min="11" max="11" width="5.86328125" customWidth="1"/>
    <col min="12" max="12" width="14" customWidth="1"/>
    <col min="13" max="13" width="11.59765625" customWidth="1"/>
    <col min="14" max="14" width="10.86328125" customWidth="1"/>
    <col min="15" max="15" width="11.3984375" customWidth="1"/>
    <col min="16" max="16" width="8.73046875" bestFit="1" customWidth="1"/>
    <col min="17" max="17" width="11.265625" bestFit="1" customWidth="1"/>
    <col min="18" max="18" width="8.1328125" customWidth="1"/>
    <col min="19" max="19" width="8" bestFit="1" customWidth="1"/>
    <col min="20" max="21" width="8.73046875" style="4" bestFit="1" customWidth="1"/>
    <col min="22" max="22" width="8.3984375" customWidth="1"/>
    <col min="23" max="23" width="9.1328125" customWidth="1"/>
    <col min="24" max="24" width="9.86328125" customWidth="1"/>
    <col min="25" max="26" width="10.86328125" customWidth="1"/>
  </cols>
  <sheetData>
    <row r="1" spans="1:23" x14ac:dyDescent="0.45">
      <c r="A1" t="s">
        <v>185</v>
      </c>
      <c r="B1" t="s">
        <v>6</v>
      </c>
      <c r="C1" s="8" t="s">
        <v>13</v>
      </c>
      <c r="D1" s="8" t="s">
        <v>14</v>
      </c>
      <c r="E1" s="9" t="s">
        <v>22</v>
      </c>
      <c r="F1" s="8" t="s">
        <v>8</v>
      </c>
      <c r="G1" t="s">
        <v>0</v>
      </c>
      <c r="H1" t="s">
        <v>11</v>
      </c>
      <c r="I1" s="6" t="s">
        <v>24</v>
      </c>
      <c r="J1" s="6" t="s">
        <v>32</v>
      </c>
      <c r="K1" s="6" t="s">
        <v>12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15</v>
      </c>
      <c r="R1" s="6" t="s">
        <v>23</v>
      </c>
      <c r="S1" s="7" t="s">
        <v>27</v>
      </c>
      <c r="T1" s="7" t="s">
        <v>26</v>
      </c>
      <c r="U1" s="6" t="s">
        <v>7</v>
      </c>
      <c r="V1" s="8" t="s">
        <v>9</v>
      </c>
      <c r="W1" s="8" t="s">
        <v>10</v>
      </c>
    </row>
    <row r="2" spans="1:23" x14ac:dyDescent="0.45">
      <c r="A2" s="2"/>
      <c r="B2" s="2" t="s">
        <v>16</v>
      </c>
      <c r="C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с. Братолюбівка, Кропивницький р-н., Кіровоградська обл. – порт Південний</v>
      </c>
      <c r="D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с. Братолюбівка, Кропивницький р-н., Кіровоградська обл. – порт Південний, автомобіль BA4358HB, причіп AX4496XF, водій Боіштян О.О.</v>
      </c>
      <c r="E2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2" s="4">
        <f>IF(Table1[[#This Row],[ціна за тонну з ПДВ]]/1.2=0, "", Table1[[#This Row],[ціна за тонну з ПДВ]]/1.2)</f>
        <v>666.66666666666674</v>
      </c>
      <c r="H2">
        <v>4</v>
      </c>
      <c r="I2" t="s">
        <v>186</v>
      </c>
      <c r="K2">
        <v>6</v>
      </c>
      <c r="L2" s="3">
        <v>46189</v>
      </c>
      <c r="M2" s="3">
        <v>46190</v>
      </c>
      <c r="N2" t="s">
        <v>17</v>
      </c>
      <c r="O2" t="s">
        <v>18</v>
      </c>
      <c r="P2" t="s">
        <v>19</v>
      </c>
      <c r="Q2" t="s">
        <v>21</v>
      </c>
      <c r="R2" t="s">
        <v>20</v>
      </c>
      <c r="S2" s="4">
        <v>26.56</v>
      </c>
      <c r="T2" s="4">
        <v>30</v>
      </c>
      <c r="U2" s="4">
        <v>800</v>
      </c>
      <c r="V2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24000</v>
      </c>
      <c r="W2" s="4">
        <f>IFERROR(IF(Table1[[#This Row],[сума з ПДВ]]/1.2=0, "", Table1[[#This Row],[сума з ПДВ]]/1.2), "")</f>
        <v>20000</v>
      </c>
    </row>
    <row r="3" spans="1:23" x14ac:dyDescent="0.45">
      <c r="A3" s="2"/>
      <c r="B3" s="2"/>
      <c r="C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BA5530ЕX, причіп BA2657XF, водій Лазарчук О.І.</v>
      </c>
      <c r="E3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3" s="4">
        <f>IF(Table1[[#This Row],[ціна за тонну з ПДВ]]/1.2=0, "", Table1[[#This Row],[ціна за тонну з ПДВ]]/1.2)</f>
        <v>833.33333333333337</v>
      </c>
      <c r="G3">
        <v>270</v>
      </c>
      <c r="H3">
        <v>4</v>
      </c>
      <c r="I3" t="s">
        <v>186</v>
      </c>
      <c r="J3" t="s">
        <v>33</v>
      </c>
      <c r="K3">
        <v>199761</v>
      </c>
      <c r="L3" s="3">
        <v>46191</v>
      </c>
      <c r="M3" s="3">
        <v>46192</v>
      </c>
      <c r="N3" t="s">
        <v>64</v>
      </c>
      <c r="O3" t="s">
        <v>47</v>
      </c>
      <c r="P3" t="s">
        <v>48</v>
      </c>
      <c r="Q3" t="s">
        <v>63</v>
      </c>
      <c r="R3" t="s">
        <v>31</v>
      </c>
      <c r="S3" s="4">
        <v>27.08</v>
      </c>
      <c r="T3" s="4">
        <v>26.98</v>
      </c>
      <c r="U3" s="4">
        <v>1000</v>
      </c>
      <c r="V3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26980</v>
      </c>
      <c r="W3" s="4">
        <f>IFERROR(IF(Table1[[#This Row],[сума з ПДВ]]/1.2=0, "", Table1[[#This Row],[сума з ПДВ]]/1.2), "")</f>
        <v>22483.333333333336</v>
      </c>
    </row>
    <row r="4" spans="1:23" x14ac:dyDescent="0.45">
      <c r="A4" s="2"/>
      <c r="B4" s="2"/>
      <c r="C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Кроповницький район, Кіровоградська область -ТОВ «ТІС-Міндобрива», порт Південний, причал №17</v>
      </c>
      <c r="D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Кроповницький район, Кіровоградська область -ТОВ «ТІС-Міндобрива», порт Південний, причал №17, автомобіль BA1141 BM, причіп ВА6104ХР, водій Стеценко О.А.</v>
      </c>
      <c r="E4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4" s="4">
        <f>IF(Table1[[#This Row],[ціна за тонну з ПДВ]]/1.2=0, "", Table1[[#This Row],[ціна за тонну з ПДВ]]/1.2)</f>
        <v>833.33333333333337</v>
      </c>
      <c r="G4">
        <v>270</v>
      </c>
      <c r="H4">
        <v>4</v>
      </c>
      <c r="I4" t="s">
        <v>186</v>
      </c>
      <c r="J4" t="s">
        <v>33</v>
      </c>
      <c r="K4">
        <v>199762</v>
      </c>
      <c r="L4" s="3">
        <v>46191</v>
      </c>
      <c r="M4" s="3">
        <v>46191</v>
      </c>
      <c r="N4" t="s">
        <v>34</v>
      </c>
      <c r="O4" t="s">
        <v>35</v>
      </c>
      <c r="P4" t="s">
        <v>36</v>
      </c>
      <c r="Q4" t="s">
        <v>38</v>
      </c>
      <c r="R4" t="s">
        <v>31</v>
      </c>
      <c r="S4" s="4">
        <v>25.42</v>
      </c>
      <c r="T4" s="4">
        <v>25.32</v>
      </c>
      <c r="U4" s="4">
        <v>1000</v>
      </c>
      <c r="V4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25320</v>
      </c>
      <c r="W4" s="4">
        <f>IFERROR(IF(Table1[[#This Row],[сума з ПДВ]]/1.2=0, "", Table1[[#This Row],[сума з ПДВ]]/1.2), "")</f>
        <v>21100</v>
      </c>
    </row>
    <row r="5" spans="1:23" x14ac:dyDescent="0.45">
      <c r="A5" s="2"/>
      <c r="B5" s="2"/>
      <c r="C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</v>
      </c>
      <c r="D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Білярі, автомобіль ВА9728ЕО, причіп АХ4497ХА, водій Гладир А. М.</v>
      </c>
      <c r="E5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5" s="4">
        <f>IF(Table1[[#This Row],[ціна за тонну з ПДВ]]/1.2=0, "", Table1[[#This Row],[ціна за тонну з ПДВ]]/1.2)</f>
        <v>916.66666666666674</v>
      </c>
      <c r="G5">
        <v>272</v>
      </c>
      <c r="H5">
        <v>2</v>
      </c>
      <c r="I5" t="s">
        <v>186</v>
      </c>
      <c r="J5" t="s">
        <v>39</v>
      </c>
      <c r="K5">
        <v>13</v>
      </c>
      <c r="L5" s="3">
        <v>46193</v>
      </c>
      <c r="M5" s="3">
        <v>46193</v>
      </c>
      <c r="N5" t="s">
        <v>119</v>
      </c>
      <c r="O5" t="s">
        <v>118</v>
      </c>
      <c r="P5" t="s">
        <v>93</v>
      </c>
      <c r="Q5" t="s">
        <v>121</v>
      </c>
      <c r="R5" t="s">
        <v>20</v>
      </c>
      <c r="S5" s="4">
        <v>27.94</v>
      </c>
      <c r="T5" s="4">
        <v>27.94</v>
      </c>
      <c r="U5" s="4">
        <v>1100</v>
      </c>
      <c r="V5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30734</v>
      </c>
      <c r="W5" s="4">
        <f>IFERROR(IF(Table1[[#This Row],[сума з ПДВ]]/1.2=0, "", Table1[[#This Row],[сума з ПДВ]]/1.2), "")</f>
        <v>25611.666666666668</v>
      </c>
    </row>
    <row r="6" spans="1:23" x14ac:dyDescent="0.45">
      <c r="A6" s="2"/>
      <c r="B6" s="2"/>
      <c r="C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</v>
      </c>
      <c r="D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Білярі, автомобіль ВА9728ЕО, причіп АХ4497ХА, водій Гладир А. М.</v>
      </c>
      <c r="E6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6" s="4">
        <f>IF(Table1[[#This Row],[ціна за тонну з ПДВ]]/1.2=0, "", Table1[[#This Row],[ціна за тонну з ПДВ]]/1.2)</f>
        <v>916.66666666666674</v>
      </c>
      <c r="G6">
        <v>272</v>
      </c>
      <c r="H6">
        <v>2</v>
      </c>
      <c r="I6" t="s">
        <v>186</v>
      </c>
      <c r="J6" t="s">
        <v>39</v>
      </c>
      <c r="K6">
        <v>4</v>
      </c>
      <c r="L6" s="3">
        <v>46190</v>
      </c>
      <c r="M6" s="3">
        <v>46191</v>
      </c>
      <c r="N6" t="s">
        <v>119</v>
      </c>
      <c r="O6" t="s">
        <v>118</v>
      </c>
      <c r="P6" t="s">
        <v>93</v>
      </c>
      <c r="Q6" t="s">
        <v>121</v>
      </c>
      <c r="R6" t="s">
        <v>20</v>
      </c>
      <c r="S6" s="4">
        <v>27.84</v>
      </c>
      <c r="T6" s="4">
        <v>27.84</v>
      </c>
      <c r="U6" s="4">
        <v>1100</v>
      </c>
      <c r="V6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30624</v>
      </c>
      <c r="W6" s="4">
        <f>IFERROR(IF(Table1[[#This Row],[сума з ПДВ]]/1.2=0, "", Table1[[#This Row],[сума з ПДВ]]/1.2), "")</f>
        <v>25520</v>
      </c>
    </row>
    <row r="7" spans="1:23" x14ac:dyDescent="0.45">
      <c r="A7" s="2"/>
      <c r="B7" s="2"/>
      <c r="C7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</v>
      </c>
      <c r="D7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Кровоградська обл., Кропивницький р-н, с. Веселівка, вул. Гречана-Одеська область, Одеський р-н, с-ще Нові Білярі, автомобіль ВА2215СВ, причіп ВА8142ХР, водій Карман В.Ю.</v>
      </c>
      <c r="E7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7" s="4">
        <f>IF(Table1[[#This Row],[ціна за тонну з ПДВ]]/1.2=0, "", Table1[[#This Row],[ціна за тонну з ПДВ]]/1.2)</f>
        <v>916.66666666666674</v>
      </c>
      <c r="G7">
        <v>272</v>
      </c>
      <c r="H7">
        <v>2</v>
      </c>
      <c r="I7" t="s">
        <v>186</v>
      </c>
      <c r="J7" t="s">
        <v>39</v>
      </c>
      <c r="K7">
        <v>1</v>
      </c>
      <c r="L7" s="3">
        <v>46189</v>
      </c>
      <c r="M7" s="3">
        <v>46190</v>
      </c>
      <c r="N7" t="s">
        <v>40</v>
      </c>
      <c r="O7" t="s">
        <v>41</v>
      </c>
      <c r="P7" t="s">
        <v>72</v>
      </c>
      <c r="Q7" t="s">
        <v>121</v>
      </c>
      <c r="R7" t="s">
        <v>20</v>
      </c>
      <c r="S7" s="4">
        <v>25.96</v>
      </c>
      <c r="T7" s="4">
        <v>26.02</v>
      </c>
      <c r="U7" s="4">
        <v>1100</v>
      </c>
      <c r="V7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28622</v>
      </c>
      <c r="W7" s="4">
        <f>IFERROR(IF(Table1[[#This Row],[сума з ПДВ]]/1.2=0, "", Table1[[#This Row],[сума з ПДВ]]/1.2), "")</f>
        <v>23851.666666666668</v>
      </c>
    </row>
    <row r="8" spans="1:23" x14ac:dyDescent="0.45">
      <c r="A8" s="2"/>
      <c r="B8" s="2"/>
      <c r="C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Кропивницький р-н, с. Веселівка, вул. Гречана -Одеська область, Одеський р-н, с-ще Нові Білярі</v>
      </c>
      <c r="D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Кропивницький р-н, с. Веселівка, вул. Гречана -Одеська область, Одеський р-н, с-ще Нові Білярі, автомобіль ВА1144ВМ, причіп АХ3947ХМ, водій СоколенкоВ.С.</v>
      </c>
      <c r="E8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8" s="4">
        <f>IF(Table1[[#This Row],[ціна за тонну з ПДВ]]/1.2=0, "", Table1[[#This Row],[ціна за тонну з ПДВ]]/1.2)</f>
        <v>916.66666666666674</v>
      </c>
      <c r="G8">
        <v>272</v>
      </c>
      <c r="H8">
        <v>2</v>
      </c>
      <c r="I8" t="s">
        <v>186</v>
      </c>
      <c r="J8" t="s">
        <v>39</v>
      </c>
      <c r="K8">
        <v>37</v>
      </c>
      <c r="L8" s="3">
        <v>46188</v>
      </c>
      <c r="M8" s="3">
        <v>46189</v>
      </c>
      <c r="N8" t="s">
        <v>42</v>
      </c>
      <c r="O8" t="s">
        <v>43</v>
      </c>
      <c r="P8" t="s">
        <v>44</v>
      </c>
      <c r="Q8" t="s">
        <v>120</v>
      </c>
      <c r="R8" t="s">
        <v>20</v>
      </c>
      <c r="S8" s="4">
        <v>27.16</v>
      </c>
      <c r="T8" s="4">
        <v>27.14</v>
      </c>
      <c r="U8" s="4">
        <v>1100</v>
      </c>
      <c r="V8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29854</v>
      </c>
      <c r="W8" s="4">
        <f>IFERROR(IF(Table1[[#This Row],[сума з ПДВ]]/1.2=0, "", Table1[[#This Row],[сума з ПДВ]]/1.2), "")</f>
        <v>24878.333333333336</v>
      </c>
    </row>
    <row r="9" spans="1:23" x14ac:dyDescent="0.45">
      <c r="A9" s="2"/>
      <c r="B9" s="2"/>
      <c r="C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м. Кропивницький, смт. Нове, вул. Ливарна, 10-Черкаська обл., Уманський рн, с. Скибин, вул. Героїв Небесної Сотні, 100</v>
      </c>
      <c r="D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м. Кропивницький, смт. Нове, вул. Ливарна, 10-Черкаська обл., Уманський рн, с. Скибин, вул. Героїв Небесної Сотні, 100, автомобіль BA5530EX, причіп BA2657XF, водій Лазарчук О.І.</v>
      </c>
      <c r="E9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27.02</v>
      </c>
      <c r="F9" s="4">
        <f>IF(Table1[[#This Row],[ціна за тонну з ПДВ]]/1.2=0, "", Table1[[#This Row],[ціна за тонну з ПДВ]]/1.2)</f>
        <v>750</v>
      </c>
      <c r="G9">
        <v>273</v>
      </c>
      <c r="H9">
        <v>2</v>
      </c>
      <c r="I9" t="s">
        <v>186</v>
      </c>
      <c r="J9" t="s">
        <v>45</v>
      </c>
      <c r="K9">
        <v>33106</v>
      </c>
      <c r="L9" s="3">
        <v>46189</v>
      </c>
      <c r="M9" s="3">
        <v>46189</v>
      </c>
      <c r="N9" t="s">
        <v>46</v>
      </c>
      <c r="O9" t="s">
        <v>47</v>
      </c>
      <c r="P9" t="s">
        <v>48</v>
      </c>
      <c r="Q9" t="s">
        <v>116</v>
      </c>
      <c r="R9" t="s">
        <v>56</v>
      </c>
      <c r="S9" s="11" t="s">
        <v>49</v>
      </c>
      <c r="T9" s="4">
        <v>27.02</v>
      </c>
      <c r="U9" s="4">
        <v>900</v>
      </c>
      <c r="V9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24318</v>
      </c>
      <c r="W9" s="4">
        <f>IFERROR(IF(Table1[[#This Row],[сума з ПДВ]]/1.2=0, "", Table1[[#This Row],[сума з ПДВ]]/1.2), "")</f>
        <v>20265</v>
      </c>
    </row>
    <row r="10" spans="1:23" x14ac:dyDescent="0.45">
      <c r="A10" s="2"/>
      <c r="B10" s="2"/>
      <c r="C10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сої за маршрутом Черкаська обл. Уманьський район, село Острожани-Кіровоградська обл., м. Кропивницький, смт.Нове, вул.Ливарна, 10</v>
      </c>
      <c r="D10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сої за маршрутом Черкаська обл. Уманьський район, село Острожани-Кіровоградська обл., м. Кропивницький, смт.Нове, вул.Ливарна, 10, автомобіль ВА5530ЕХ, причіп BA2657XF, водій Лазарчук О.І.</v>
      </c>
      <c r="E10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27.22</v>
      </c>
      <c r="F10" s="4">
        <f>IF(Table1[[#This Row],[ціна за тонну з ПДВ]]/1.2=0, "", Table1[[#This Row],[ціна за тонну з ПДВ]]/1.2)</f>
        <v>666.66666666666674</v>
      </c>
      <c r="G10">
        <v>274</v>
      </c>
      <c r="H10">
        <v>3</v>
      </c>
      <c r="I10" t="s">
        <v>186</v>
      </c>
      <c r="J10" t="s">
        <v>45</v>
      </c>
      <c r="K10">
        <v>2</v>
      </c>
      <c r="L10" s="3">
        <v>46190</v>
      </c>
      <c r="M10" s="3">
        <v>46190</v>
      </c>
      <c r="N10" t="s">
        <v>50</v>
      </c>
      <c r="O10" t="s">
        <v>47</v>
      </c>
      <c r="P10" t="s">
        <v>48</v>
      </c>
      <c r="Q10" t="s">
        <v>51</v>
      </c>
      <c r="R10" t="s">
        <v>52</v>
      </c>
      <c r="S10" s="4">
        <v>27.22</v>
      </c>
      <c r="T10" s="4">
        <v>27.22</v>
      </c>
      <c r="U10" s="4">
        <v>800</v>
      </c>
      <c r="V10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21776</v>
      </c>
      <c r="W10" s="4">
        <f>IFERROR(IF(Table1[[#This Row],[сума з ПДВ]]/1.2=0, "", Table1[[#This Row],[сума з ПДВ]]/1.2), "")</f>
        <v>18146.666666666668</v>
      </c>
    </row>
    <row r="11" spans="1:23" x14ac:dyDescent="0.45">
      <c r="A11" s="2"/>
      <c r="B11" s="2" t="s">
        <v>59</v>
      </c>
      <c r="C11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м. Кропивницький, смт. Нове, вул. Ливарна, 10- Кіровоградська обл., Кропивницький район, с. Сонячне</v>
      </c>
      <c r="D11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м. Кропивницький, смт. Нове, вул. Ливарна, 10- Кіровоградська обл., Кропивницький район, с. Сонячне, автомобіль BA5391EO, причіп BA2471XO, водій Ткаченко О.Б.</v>
      </c>
      <c r="E11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25.08</v>
      </c>
      <c r="F11" s="4">
        <f>IF(Table1[[#This Row],[ціна за тонну з ПДВ]]/1.2=0, "", Table1[[#This Row],[ціна за тонну з ПДВ]]/1.2)</f>
        <v>1000</v>
      </c>
      <c r="G11">
        <v>269</v>
      </c>
      <c r="H11">
        <v>2</v>
      </c>
      <c r="I11" t="s">
        <v>186</v>
      </c>
      <c r="J11" t="s">
        <v>57</v>
      </c>
      <c r="K11">
        <v>33129</v>
      </c>
      <c r="L11" s="3">
        <v>46192</v>
      </c>
      <c r="M11" s="3">
        <v>46192</v>
      </c>
      <c r="N11" t="s">
        <v>53</v>
      </c>
      <c r="O11" t="s">
        <v>54</v>
      </c>
      <c r="P11" t="s">
        <v>55</v>
      </c>
      <c r="Q11" t="s">
        <v>58</v>
      </c>
      <c r="R11" t="s">
        <v>56</v>
      </c>
      <c r="S11" s="4">
        <v>25.08</v>
      </c>
      <c r="T11" s="4">
        <v>25.08</v>
      </c>
      <c r="U11" s="4">
        <v>1200</v>
      </c>
      <c r="V11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30095.999999999996</v>
      </c>
      <c r="W11" s="4">
        <f>IFERROR(IF(Table1[[#This Row],[сума з ПДВ]]/1.2=0, "", Table1[[#This Row],[сума з ПДВ]]/1.2), "")</f>
        <v>25079.999999999996</v>
      </c>
    </row>
    <row r="12" spans="1:23" x14ac:dyDescent="0.45">
      <c r="A12" s="2"/>
      <c r="B12" s="2"/>
      <c r="C1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1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BA0933НС, причіп BA4176XF, водій Гаморя О.В.</v>
      </c>
      <c r="E12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12" s="4">
        <f>IF(Table1[[#This Row],[ціна за тонну з ПДВ]]/1.2=0, "", Table1[[#This Row],[ціна за тонну з ПДВ]]/1.2)</f>
        <v>833.33333333333337</v>
      </c>
      <c r="G12">
        <v>270</v>
      </c>
      <c r="H12">
        <v>3</v>
      </c>
      <c r="I12" t="s">
        <v>186</v>
      </c>
      <c r="J12" t="s">
        <v>33</v>
      </c>
      <c r="K12">
        <v>199763</v>
      </c>
      <c r="L12" s="3">
        <v>46191</v>
      </c>
      <c r="M12" s="3">
        <v>46191</v>
      </c>
      <c r="N12" t="s">
        <v>61</v>
      </c>
      <c r="O12" t="s">
        <v>62</v>
      </c>
      <c r="P12" t="s">
        <v>60</v>
      </c>
      <c r="Q12" t="s">
        <v>63</v>
      </c>
      <c r="R12" t="s">
        <v>31</v>
      </c>
      <c r="S12" s="4">
        <v>27.8</v>
      </c>
      <c r="T12" s="4">
        <v>27.76</v>
      </c>
      <c r="U12" s="4">
        <v>1000</v>
      </c>
      <c r="V12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27760</v>
      </c>
      <c r="W12" s="4">
        <f>IFERROR(IF(Table1[[#This Row],[сума з ПДВ]]/1.2=0, "", Table1[[#This Row],[сума з ПДВ]]/1.2), "")</f>
        <v>23133.333333333336</v>
      </c>
    </row>
    <row r="13" spans="1:23" x14ac:dyDescent="0.45">
      <c r="A13" s="2"/>
      <c r="B13" s="2"/>
      <c r="C1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1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ВА0251 НЕ, причіп ВА4672ХO, водій Дяченко О. Ю.</v>
      </c>
      <c r="E13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13" s="4">
        <f>IF(Table1[[#This Row],[ціна за тонну з ПДВ]]/1.2=0, "", Table1[[#This Row],[ціна за тонну з ПДВ]]/1.2)</f>
        <v>833.33333333333337</v>
      </c>
      <c r="G13">
        <v>270</v>
      </c>
      <c r="H13">
        <v>4</v>
      </c>
      <c r="I13" t="s">
        <v>186</v>
      </c>
      <c r="J13" t="s">
        <v>33</v>
      </c>
      <c r="K13">
        <v>199764</v>
      </c>
      <c r="L13" s="3">
        <v>46191</v>
      </c>
      <c r="M13" s="3">
        <v>46191</v>
      </c>
      <c r="N13" t="s">
        <v>65</v>
      </c>
      <c r="O13" t="s">
        <v>66</v>
      </c>
      <c r="P13" t="s">
        <v>67</v>
      </c>
      <c r="Q13" t="s">
        <v>63</v>
      </c>
      <c r="R13" t="s">
        <v>31</v>
      </c>
      <c r="S13" s="4">
        <v>25.4</v>
      </c>
      <c r="T13" s="4">
        <v>25.3</v>
      </c>
      <c r="U13" s="4">
        <v>1000</v>
      </c>
      <c r="V13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25300</v>
      </c>
      <c r="W13" s="4">
        <f>IFERROR(IF(Table1[[#This Row],[сума з ПДВ]]/1.2=0, "", Table1[[#This Row],[сума з ПДВ]]/1.2), "")</f>
        <v>21083.333333333336</v>
      </c>
    </row>
    <row r="14" spans="1:23" x14ac:dyDescent="0.45">
      <c r="A14" s="2"/>
      <c r="B14" s="2"/>
      <c r="C1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1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BA4358НВ, причіп AX4496XF, водій Боіштян О.О.</v>
      </c>
      <c r="E14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53.36</v>
      </c>
      <c r="F14" s="4">
        <f>IF(Table1[[#This Row],[ціна за тонну з ПДВ]]/1.2=0, "", Table1[[#This Row],[ціна за тонну з ПДВ]]/1.2)</f>
        <v>833.33333333333337</v>
      </c>
      <c r="G14">
        <v>68</v>
      </c>
      <c r="H14">
        <v>2</v>
      </c>
      <c r="I14" t="s">
        <v>114</v>
      </c>
      <c r="J14" t="s">
        <v>33</v>
      </c>
      <c r="K14">
        <v>199765</v>
      </c>
      <c r="L14" s="3">
        <v>46191</v>
      </c>
      <c r="M14" s="3">
        <v>46191</v>
      </c>
      <c r="N14" t="s">
        <v>115</v>
      </c>
      <c r="O14" t="s">
        <v>18</v>
      </c>
      <c r="P14" t="s">
        <v>19</v>
      </c>
      <c r="Q14" t="s">
        <v>63</v>
      </c>
      <c r="R14" t="s">
        <v>31</v>
      </c>
      <c r="S14" s="4">
        <v>26.8</v>
      </c>
      <c r="T14" s="4">
        <v>26.68</v>
      </c>
      <c r="U14" s="4">
        <v>1000</v>
      </c>
      <c r="V14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26680</v>
      </c>
      <c r="W14" s="4">
        <f>IFERROR(IF(Table1[[#This Row],[сума з ПДВ]]/1.2=0, "", Table1[[#This Row],[сума з ПДВ]]/1.2), "")</f>
        <v>22233.333333333336</v>
      </c>
    </row>
    <row r="15" spans="1:23" x14ac:dyDescent="0.45">
      <c r="A15" s="2"/>
      <c r="B15" s="2" t="s">
        <v>71</v>
      </c>
      <c r="C1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</v>
      </c>
      <c r="D1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шосе, автомобіль BA2215СВ, причіп ВА8142ХР, водій Карман В.Ю.,</v>
      </c>
      <c r="E15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26.36</v>
      </c>
      <c r="F15" s="4">
        <f>IF(Table1[[#This Row],[ціна за тонну з ПДВ]]/1.2=0, "", Table1[[#This Row],[ціна за тонну з ПДВ]]/1.2)</f>
        <v>416.66666666666669</v>
      </c>
      <c r="G15">
        <v>277</v>
      </c>
      <c r="H15">
        <v>7</v>
      </c>
      <c r="I15" t="s">
        <v>186</v>
      </c>
      <c r="J15" s="3" t="s">
        <v>133</v>
      </c>
      <c r="K15" s="12" t="s">
        <v>68</v>
      </c>
      <c r="L15" s="3">
        <v>46192</v>
      </c>
      <c r="M15" s="3">
        <v>46192</v>
      </c>
      <c r="N15" t="s">
        <v>70</v>
      </c>
      <c r="O15" t="s">
        <v>41</v>
      </c>
      <c r="P15" t="s">
        <v>69</v>
      </c>
      <c r="Q15" t="s">
        <v>137</v>
      </c>
      <c r="R15" t="s">
        <v>56</v>
      </c>
      <c r="S15" s="4">
        <v>26.4</v>
      </c>
      <c r="T15" s="4">
        <v>26.36</v>
      </c>
      <c r="U15" s="4">
        <v>500</v>
      </c>
      <c r="V15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13180</v>
      </c>
      <c r="W15" s="4">
        <f>IFERROR(IF(Table1[[#This Row],[сума з ПДВ]]/1.2=0, "", Table1[[#This Row],[сума з ПДВ]]/1.2), "")</f>
        <v>10983.333333333334</v>
      </c>
    </row>
    <row r="16" spans="1:23" x14ac:dyDescent="0.45">
      <c r="A16" s="2"/>
      <c r="B16" s="2"/>
      <c r="C1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Кропивницький район, Кіровоградська область -ТОВ «ТІС-Міндобрива», порт Південний, причал №17</v>
      </c>
      <c r="D1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Кропивницький район, Кіровоградська область -ТОВ «ТІС-Міндобрива», порт Південний, причал №17, автомобіль BA2215CB, причіп ВA8142XР, водій Карман В. Ю.</v>
      </c>
      <c r="E16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16" s="4">
        <f>IF(Table1[[#This Row],[ціна за тонну з ПДВ]]/1.2=0, "", Table1[[#This Row],[ціна за тонну з ПДВ]]/1.2)</f>
        <v>833.33333333333337</v>
      </c>
      <c r="G16">
        <v>270</v>
      </c>
      <c r="H16">
        <v>3</v>
      </c>
      <c r="I16" t="s">
        <v>186</v>
      </c>
      <c r="J16" t="s">
        <v>33</v>
      </c>
      <c r="K16">
        <v>199767</v>
      </c>
      <c r="L16" s="3">
        <v>46191</v>
      </c>
      <c r="M16" s="3">
        <v>46191</v>
      </c>
      <c r="N16" t="s">
        <v>28</v>
      </c>
      <c r="O16" t="s">
        <v>29</v>
      </c>
      <c r="P16" t="s">
        <v>30</v>
      </c>
      <c r="Q16" t="s">
        <v>37</v>
      </c>
      <c r="R16" t="s">
        <v>31</v>
      </c>
      <c r="S16" s="4">
        <v>25.7</v>
      </c>
      <c r="T16" s="4">
        <v>25.62</v>
      </c>
      <c r="U16" s="4">
        <v>1000</v>
      </c>
      <c r="V16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25620</v>
      </c>
      <c r="W16" s="4">
        <f>IFERROR(IF(Table1[[#This Row],[сума з ПДВ]]/1.2=0, "", Table1[[#This Row],[сума з ПДВ]]/1.2), "")</f>
        <v>21350</v>
      </c>
    </row>
    <row r="17" spans="1:23" x14ac:dyDescent="0.45">
      <c r="A17" s="2"/>
      <c r="B17" s="2" t="s">
        <v>78</v>
      </c>
      <c r="C17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Сумська обл-ть, Краснопільський р-н, с.Краспопілля-Одеський Морський Торгівельний Порт</v>
      </c>
      <c r="D17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Сумська обл-ть, Краснопільський р-н, с.Краспопілля-Одеський Морський Торгівельний Порт, автомобіль ВА 7225ВК, причіп ВА 4621XF, водій Тертиця В.М.</v>
      </c>
      <c r="E17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17" s="4" t="str">
        <f>IF(Table1[[#This Row],[ціна за тонну з ПДВ]]/1.2=0, "", Table1[[#This Row],[ціна за тонну з ПДВ]]/1.2)</f>
        <v/>
      </c>
      <c r="I17" t="s">
        <v>186</v>
      </c>
      <c r="J17" t="s">
        <v>74</v>
      </c>
      <c r="K17" s="14" t="s">
        <v>73</v>
      </c>
      <c r="L17" s="3">
        <v>46191</v>
      </c>
      <c r="M17" s="3">
        <v>46192</v>
      </c>
      <c r="N17" t="s">
        <v>76</v>
      </c>
      <c r="O17" t="s">
        <v>77</v>
      </c>
      <c r="P17" t="s">
        <v>75</v>
      </c>
      <c r="Q17" t="s">
        <v>79</v>
      </c>
      <c r="R17" t="s">
        <v>31</v>
      </c>
      <c r="S17" s="4">
        <v>27.62</v>
      </c>
      <c r="T17" s="4">
        <v>27.66</v>
      </c>
      <c r="V17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17" s="4" t="str">
        <f>IFERROR(IF(Table1[[#This Row],[сума з ПДВ]]/1.2=0, "", Table1[[#This Row],[сума з ПДВ]]/1.2), "")</f>
        <v/>
      </c>
    </row>
    <row r="18" spans="1:23" x14ac:dyDescent="0.45">
      <c r="A18" s="2"/>
      <c r="B18" s="2"/>
      <c r="C1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Кропивницький р-н, с. Веселівка, вул. Гречана-Одеська область, Одеський р-н, с-ще Нові Білярі</v>
      </c>
      <c r="D1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Кропивницький р-н, с. Веселівка, вул. Гречана-Одеська область, Одеський р-н, с-ще Нові Білярі, автомобіль ВА3334АВ, причіп BA4673XO, водій Шевельов О.І.</v>
      </c>
      <c r="E18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18" s="4">
        <f>IF(Table1[[#This Row],[ціна за тонну з ПДВ]]/1.2=0, "", Table1[[#This Row],[ціна за тонну з ПДВ]]/1.2)</f>
        <v>916.66666666666674</v>
      </c>
      <c r="G18">
        <v>272</v>
      </c>
      <c r="H18">
        <v>2</v>
      </c>
      <c r="I18" t="s">
        <v>186</v>
      </c>
      <c r="J18" t="s">
        <v>39</v>
      </c>
      <c r="K18">
        <v>7</v>
      </c>
      <c r="L18" s="3">
        <v>46191</v>
      </c>
      <c r="M18" s="3">
        <v>46192</v>
      </c>
      <c r="N18" t="s">
        <v>81</v>
      </c>
      <c r="O18" t="s">
        <v>83</v>
      </c>
      <c r="P18" t="s">
        <v>80</v>
      </c>
      <c r="Q18" t="s">
        <v>82</v>
      </c>
      <c r="R18" t="s">
        <v>20</v>
      </c>
      <c r="S18" s="4">
        <v>27.72</v>
      </c>
      <c r="T18" s="4">
        <v>27.66</v>
      </c>
      <c r="U18" s="4">
        <v>1100</v>
      </c>
      <c r="V18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30426</v>
      </c>
      <c r="W18" s="4">
        <f>IFERROR(IF(Table1[[#This Row],[сума з ПДВ]]/1.2=0, "", Table1[[#This Row],[сума з ПДВ]]/1.2), "")</f>
        <v>25355</v>
      </c>
    </row>
    <row r="19" spans="1:23" x14ac:dyDescent="0.45">
      <c r="A19" s="2"/>
      <c r="B19" s="2"/>
      <c r="C1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ячменю за маршрутом с. Васютинці, Черкаська обл.-Одеська обл., 1-й км Автодороги порту "Південний"</v>
      </c>
      <c r="D1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ячменю за маршрутом с. Васютинці, Черкаська обл.-Одеська обл., 1-й км Автодороги порту "Південний", автомобіль ВА 9737ЕО, причіп ВА 2192 ХЕ, водій Бабак Р.М</v>
      </c>
      <c r="E19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80.38</v>
      </c>
      <c r="F19" s="4">
        <f>IF(Table1[[#This Row],[ціна за тонну з ПДВ]]/1.2=0, "", Table1[[#This Row],[ціна за тонну з ПДВ]]/1.2)</f>
        <v>1166.6666666666667</v>
      </c>
      <c r="G19">
        <v>279</v>
      </c>
      <c r="H19">
        <v>3</v>
      </c>
      <c r="I19" t="s">
        <v>186</v>
      </c>
      <c r="J19" t="s">
        <v>84</v>
      </c>
      <c r="K19">
        <v>25</v>
      </c>
      <c r="L19" s="3">
        <v>46191</v>
      </c>
      <c r="M19" s="3">
        <v>46192</v>
      </c>
      <c r="N19" t="s">
        <v>87</v>
      </c>
      <c r="O19" t="s">
        <v>88</v>
      </c>
      <c r="P19" t="s">
        <v>85</v>
      </c>
      <c r="Q19" t="s">
        <v>89</v>
      </c>
      <c r="R19" t="s">
        <v>86</v>
      </c>
      <c r="S19" s="4">
        <v>27.18</v>
      </c>
      <c r="T19" s="4">
        <v>27.12</v>
      </c>
      <c r="U19" s="4">
        <v>1400</v>
      </c>
      <c r="V19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37968</v>
      </c>
      <c r="W19" s="4">
        <f>IFERROR(IF(Table1[[#This Row],[сума з ПДВ]]/1.2=0, "", Table1[[#This Row],[сума з ПДВ]]/1.2), "")</f>
        <v>31640</v>
      </c>
    </row>
    <row r="20" spans="1:23" x14ac:dyDescent="0.45">
      <c r="A20" s="2"/>
      <c r="B20" s="2"/>
      <c r="C20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ячменю за маршрутом с. Васютинці, Черкаська обл.-Одеська обл., 1-й км Автодороги порту "Південний"</v>
      </c>
      <c r="D20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ячменю за маршрутом с. Васютинці, Черкаська обл.-Одеська обл., 1-й км Автодороги порту "Південний", автомобіль ВА1141ВМ, причіп АХ3947ХМ, водій СоколенкоВ.С.</v>
      </c>
      <c r="E20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80.38</v>
      </c>
      <c r="F20" s="4">
        <f>IF(Table1[[#This Row],[ціна за тонну з ПДВ]]/1.2=0, "", Table1[[#This Row],[ціна за тонну з ПДВ]]/1.2)</f>
        <v>1166.6666666666667</v>
      </c>
      <c r="G20">
        <v>279</v>
      </c>
      <c r="H20">
        <v>3</v>
      </c>
      <c r="I20" t="s">
        <v>186</v>
      </c>
      <c r="J20" t="s">
        <v>84</v>
      </c>
      <c r="K20">
        <v>293</v>
      </c>
      <c r="L20" s="3">
        <v>46191</v>
      </c>
      <c r="M20" s="3">
        <v>46192</v>
      </c>
      <c r="N20" t="s">
        <v>90</v>
      </c>
      <c r="O20" t="s">
        <v>43</v>
      </c>
      <c r="P20" t="s">
        <v>44</v>
      </c>
      <c r="Q20" t="s">
        <v>89</v>
      </c>
      <c r="R20" t="s">
        <v>86</v>
      </c>
      <c r="S20" s="4">
        <v>27.14</v>
      </c>
      <c r="T20" s="4">
        <v>27.08</v>
      </c>
      <c r="U20" s="4">
        <v>1400</v>
      </c>
      <c r="V20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37912</v>
      </c>
      <c r="W20" s="4">
        <f>IFERROR(IF(Table1[[#This Row],[сума з ПДВ]]/1.2=0, "", Table1[[#This Row],[сума з ПДВ]]/1.2), "")</f>
        <v>31593.333333333336</v>
      </c>
    </row>
    <row r="21" spans="1:23" x14ac:dyDescent="0.45">
      <c r="A21" s="2"/>
      <c r="B21" s="2"/>
      <c r="C21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</v>
      </c>
      <c r="D21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18, автомобіль BA9983EO, причіп BA5530XF, водій Протасов О.Г.</v>
      </c>
      <c r="E21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106.27999999999999</v>
      </c>
      <c r="F21" s="4">
        <f>IF(Table1[[#This Row],[ціна за тонну з ПДВ]]/1.2=0, "", Table1[[#This Row],[ціна за тонну з ПДВ]]/1.2)</f>
        <v>875</v>
      </c>
      <c r="G21">
        <v>271</v>
      </c>
      <c r="H21">
        <v>5</v>
      </c>
      <c r="I21" t="s">
        <v>186</v>
      </c>
      <c r="J21" t="s">
        <v>94</v>
      </c>
      <c r="K21">
        <v>1</v>
      </c>
      <c r="L21" s="3">
        <v>46192</v>
      </c>
      <c r="M21" s="3">
        <v>46193</v>
      </c>
      <c r="N21" t="s">
        <v>96</v>
      </c>
      <c r="O21" t="s">
        <v>97</v>
      </c>
      <c r="P21" t="s">
        <v>98</v>
      </c>
      <c r="Q21" t="s">
        <v>95</v>
      </c>
      <c r="R21" t="s">
        <v>20</v>
      </c>
      <c r="S21" s="4">
        <v>28.68</v>
      </c>
      <c r="T21" s="4">
        <v>28.7</v>
      </c>
      <c r="U21" s="4">
        <v>1050</v>
      </c>
      <c r="V21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30135</v>
      </c>
      <c r="W21" s="4">
        <f>IFERROR(IF(Table1[[#This Row],[сума з ПДВ]]/1.2=0, "", Table1[[#This Row],[сума з ПДВ]]/1.2), "")</f>
        <v>25112.5</v>
      </c>
    </row>
    <row r="22" spans="1:23" x14ac:dyDescent="0.45">
      <c r="A22" s="2"/>
      <c r="B22" s="2"/>
      <c r="C2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2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ВА972ВЕО, причіп AX4497XF, водій Гладир А. М.</v>
      </c>
      <c r="E22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22" s="4">
        <f>IF(Table1[[#This Row],[ціна за тонну з ПДВ]]/1.2=0, "", Table1[[#This Row],[ціна за тонну з ПДВ]]/1.2)</f>
        <v>833.33333333333337</v>
      </c>
      <c r="G22">
        <v>270</v>
      </c>
      <c r="H22">
        <v>2</v>
      </c>
      <c r="I22" t="s">
        <v>186</v>
      </c>
      <c r="J22" t="s">
        <v>33</v>
      </c>
      <c r="K22">
        <v>199781</v>
      </c>
      <c r="L22" s="3">
        <v>46192</v>
      </c>
      <c r="M22" s="3">
        <v>46192</v>
      </c>
      <c r="N22" t="s">
        <v>91</v>
      </c>
      <c r="O22" t="s">
        <v>92</v>
      </c>
      <c r="P22" t="s">
        <v>93</v>
      </c>
      <c r="Q22" t="s">
        <v>63</v>
      </c>
      <c r="R22" t="s">
        <v>31</v>
      </c>
      <c r="S22" s="4">
        <v>27.88</v>
      </c>
      <c r="T22" s="4">
        <v>27.72</v>
      </c>
      <c r="U22" s="4">
        <v>1000</v>
      </c>
      <c r="V22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27720</v>
      </c>
      <c r="W22" s="4">
        <f>IFERROR(IF(Table1[[#This Row],[сума з ПДВ]]/1.2=0, "", Table1[[#This Row],[сума з ПДВ]]/1.2), "")</f>
        <v>23100</v>
      </c>
    </row>
    <row r="23" spans="1:23" x14ac:dyDescent="0.45">
      <c r="A23" s="2"/>
      <c r="B23" s="2"/>
      <c r="C2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</v>
      </c>
      <c r="D2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18, автомобіль BA4068BX, причіп BA3102XO, водій Липа А.С.</v>
      </c>
      <c r="E23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106.27999999999999</v>
      </c>
      <c r="F23" s="4">
        <f>IF(Table1[[#This Row],[ціна за тонну з ПДВ]]/1.2=0, "", Table1[[#This Row],[ціна за тонну з ПДВ]]/1.2)</f>
        <v>875</v>
      </c>
      <c r="G23">
        <v>271</v>
      </c>
      <c r="H23">
        <v>5</v>
      </c>
      <c r="I23" t="s">
        <v>186</v>
      </c>
      <c r="J23" t="s">
        <v>94</v>
      </c>
      <c r="K23">
        <v>2</v>
      </c>
      <c r="L23" s="3" t="s">
        <v>101</v>
      </c>
      <c r="M23" s="3">
        <v>46193</v>
      </c>
      <c r="N23" t="s">
        <v>102</v>
      </c>
      <c r="O23" t="s">
        <v>103</v>
      </c>
      <c r="P23" t="s">
        <v>104</v>
      </c>
      <c r="Q23" t="s">
        <v>95</v>
      </c>
      <c r="R23" t="s">
        <v>20</v>
      </c>
      <c r="S23" s="4">
        <v>25.6</v>
      </c>
      <c r="T23" s="4">
        <v>25.6</v>
      </c>
      <c r="U23" s="4">
        <v>1050</v>
      </c>
      <c r="V23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26880</v>
      </c>
      <c r="W23" s="4">
        <f>IFERROR(IF(Table1[[#This Row],[сума з ПДВ]]/1.2=0, "", Table1[[#This Row],[сума з ПДВ]]/1.2), "")</f>
        <v>22400</v>
      </c>
    </row>
    <row r="24" spans="1:23" x14ac:dyDescent="0.45">
      <c r="A24" s="2"/>
      <c r="B24" s="2"/>
      <c r="C2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Кропивницький р-н, с. Веселівка, вул. Гречана-Одеська область, Одеський р-н, с-ще Нові Білярі</v>
      </c>
      <c r="D2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Кропивницький р-н, с. Веселівка, вул. Гречана-Одеська область, Одеський р-н, с-ще Нові Білярі, автомобіль ВА0933НС, причіп ВA4176XР, водій Гаморя О.В.</v>
      </c>
      <c r="E24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164.51999999999998</v>
      </c>
      <c r="F24" s="4">
        <f>IF(Table1[[#This Row],[ціна за тонну з ПДВ]]/1.2=0, "", Table1[[#This Row],[ціна за тонну з ПДВ]]/1.2)</f>
        <v>916.66666666666674</v>
      </c>
      <c r="G24">
        <v>272</v>
      </c>
      <c r="H24">
        <v>2</v>
      </c>
      <c r="I24" t="s">
        <v>186</v>
      </c>
      <c r="J24" t="s">
        <v>39</v>
      </c>
      <c r="K24">
        <v>10</v>
      </c>
      <c r="L24" s="3">
        <v>46192</v>
      </c>
      <c r="M24" s="3">
        <v>46193</v>
      </c>
      <c r="N24" t="s">
        <v>105</v>
      </c>
      <c r="O24" t="s">
        <v>106</v>
      </c>
      <c r="P24" t="s">
        <v>60</v>
      </c>
      <c r="Q24" t="s">
        <v>82</v>
      </c>
      <c r="R24" t="s">
        <v>20</v>
      </c>
      <c r="S24" s="4">
        <v>27.94</v>
      </c>
      <c r="T24" s="4">
        <v>27.92</v>
      </c>
      <c r="U24" s="4">
        <v>1100</v>
      </c>
      <c r="V24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30712.000000000004</v>
      </c>
      <c r="W24" s="4">
        <f>IFERROR(IF(Table1[[#This Row],[сума з ПДВ]]/1.2=0, "", Table1[[#This Row],[сума з ПДВ]]/1.2), "")</f>
        <v>25593.333333333336</v>
      </c>
    </row>
    <row r="25" spans="1:23" x14ac:dyDescent="0.45">
      <c r="A25" s="2"/>
      <c r="B25" s="2"/>
      <c r="C2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2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BA1141ВМ, причіп ВА6104ХР, водій Стеценко О. А.</v>
      </c>
      <c r="E25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25" s="4">
        <f>IF(Table1[[#This Row],[ціна за тонну з ПДВ]]/1.2=0, "", Table1[[#This Row],[ціна за тонну з ПДВ]]/1.2)</f>
        <v>833.33333333333337</v>
      </c>
      <c r="G25">
        <v>270</v>
      </c>
      <c r="H25">
        <v>4</v>
      </c>
      <c r="I25" t="s">
        <v>186</v>
      </c>
      <c r="J25" t="s">
        <v>33</v>
      </c>
      <c r="K25">
        <v>199783</v>
      </c>
      <c r="L25" s="3">
        <v>46192</v>
      </c>
      <c r="M25" s="3">
        <v>46193</v>
      </c>
      <c r="N25" t="s">
        <v>100</v>
      </c>
      <c r="O25" t="s">
        <v>35</v>
      </c>
      <c r="P25" t="s">
        <v>99</v>
      </c>
      <c r="Q25" t="s">
        <v>63</v>
      </c>
      <c r="R25" t="s">
        <v>31</v>
      </c>
      <c r="S25" s="4">
        <v>25.46</v>
      </c>
      <c r="T25" s="4">
        <v>25.4</v>
      </c>
      <c r="U25" s="4">
        <v>1000</v>
      </c>
      <c r="V25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25400</v>
      </c>
      <c r="W25" s="4">
        <f>IFERROR(IF(Table1[[#This Row],[сума з ПДВ]]/1.2=0, "", Table1[[#This Row],[сума з ПДВ]]/1.2), "")</f>
        <v>21166.666666666668</v>
      </c>
    </row>
    <row r="26" spans="1:23" x14ac:dyDescent="0.45">
      <c r="A26" s="2"/>
      <c r="B26" s="2"/>
      <c r="C2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</v>
      </c>
      <c r="D2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18, автомобіль BA5391EO, причіп BA2471XO, водій Ткаченко О.Б.</v>
      </c>
      <c r="E26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106.27999999999999</v>
      </c>
      <c r="F26" s="4">
        <f>IF(Table1[[#This Row],[ціна за тонну з ПДВ]]/1.2=0, "", Table1[[#This Row],[ціна за тонну з ПДВ]]/1.2)</f>
        <v>875</v>
      </c>
      <c r="G26">
        <v>271</v>
      </c>
      <c r="H26">
        <v>4</v>
      </c>
      <c r="I26" t="s">
        <v>186</v>
      </c>
      <c r="J26" t="s">
        <v>94</v>
      </c>
      <c r="K26">
        <v>3</v>
      </c>
      <c r="L26" s="3">
        <v>46193</v>
      </c>
      <c r="M26" s="3">
        <v>46193</v>
      </c>
      <c r="N26" t="s">
        <v>53</v>
      </c>
      <c r="O26" t="s">
        <v>54</v>
      </c>
      <c r="P26" t="s">
        <v>55</v>
      </c>
      <c r="Q26" t="s">
        <v>95</v>
      </c>
      <c r="R26" t="s">
        <v>20</v>
      </c>
      <c r="S26" s="4">
        <v>25.04</v>
      </c>
      <c r="T26" s="4">
        <v>24.96</v>
      </c>
      <c r="U26" s="4">
        <v>1050</v>
      </c>
      <c r="V26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26208</v>
      </c>
      <c r="W26" s="4">
        <f>IFERROR(IF(Table1[[#This Row],[сума з ПДВ]]/1.2=0, "", Table1[[#This Row],[сума з ПДВ]]/1.2), "")</f>
        <v>21840</v>
      </c>
    </row>
    <row r="27" spans="1:23" x14ac:dyDescent="0.45">
      <c r="A27" s="2"/>
      <c r="B27" s="2" t="s">
        <v>78</v>
      </c>
      <c r="C27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Сумеька обл-ть, Краснопільський р-н, с. Краспопілля-Одеський Морський Торгівельний Порт</v>
      </c>
      <c r="D27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Сумеька обл-ть, Краснопільський р-н, с. Краспопілля-Одеський Морський Торгівельний Порт, автомобіль BA0286CC, причіп ВА4671ХО, водій Ракул К.Ю.</v>
      </c>
      <c r="E27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27" s="4" t="str">
        <f>IF(Table1[[#This Row],[ціна за тонну з ПДВ]]/1.2=0, "", Table1[[#This Row],[ціна за тонну з ПДВ]]/1.2)</f>
        <v/>
      </c>
      <c r="I27" t="s">
        <v>186</v>
      </c>
      <c r="J27" t="s">
        <v>74</v>
      </c>
      <c r="K27" t="s">
        <v>109</v>
      </c>
      <c r="L27" s="3">
        <v>46191</v>
      </c>
      <c r="M27" s="3">
        <v>46194</v>
      </c>
      <c r="N27" t="s">
        <v>110</v>
      </c>
      <c r="O27" t="s">
        <v>111</v>
      </c>
      <c r="P27" t="s">
        <v>112</v>
      </c>
      <c r="Q27" t="s">
        <v>113</v>
      </c>
      <c r="R27" t="s">
        <v>31</v>
      </c>
      <c r="S27" s="4">
        <v>26.56</v>
      </c>
      <c r="T27" s="4">
        <v>26.56</v>
      </c>
      <c r="V27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27" s="4" t="str">
        <f>IFERROR(IF(Table1[[#This Row],[сума з ПДВ]]/1.2=0, "", Table1[[#This Row],[сума з ПДВ]]/1.2), "")</f>
        <v/>
      </c>
    </row>
    <row r="28" spans="1:23" x14ac:dyDescent="0.45">
      <c r="A28" s="2"/>
      <c r="B28" s="2"/>
      <c r="C2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2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ВА0251НЕ, причіп ВА4672ХО, водій Дяченко О. Ю.</v>
      </c>
      <c r="E28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209.5</v>
      </c>
      <c r="F28" s="4">
        <f>IF(Table1[[#This Row],[ціна за тонну з ПДВ]]/1.2=0, "", Table1[[#This Row],[ціна за тонну з ПДВ]]/1.2)</f>
        <v>833.33333333333337</v>
      </c>
      <c r="G28">
        <v>270</v>
      </c>
      <c r="H28">
        <v>4</v>
      </c>
      <c r="I28" t="s">
        <v>186</v>
      </c>
      <c r="J28" t="s">
        <v>33</v>
      </c>
      <c r="K28">
        <v>199784</v>
      </c>
      <c r="L28" s="3">
        <v>46192</v>
      </c>
      <c r="M28" s="3">
        <v>46193</v>
      </c>
      <c r="N28" t="s">
        <v>107</v>
      </c>
      <c r="O28" t="s">
        <v>108</v>
      </c>
      <c r="P28" t="s">
        <v>67</v>
      </c>
      <c r="Q28" t="s">
        <v>63</v>
      </c>
      <c r="R28" t="s">
        <v>31</v>
      </c>
      <c r="S28" s="4">
        <v>25.42</v>
      </c>
      <c r="T28" s="4">
        <v>25.4</v>
      </c>
      <c r="U28" s="4">
        <v>1000</v>
      </c>
      <c r="V28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25400</v>
      </c>
      <c r="W28" s="4">
        <f>IFERROR(IF(Table1[[#This Row],[сума з ПДВ]]/1.2=0, "", Table1[[#This Row],[сума з ПДВ]]/1.2), "")</f>
        <v>21166.666666666668</v>
      </c>
    </row>
    <row r="29" spans="1:23" x14ac:dyDescent="0.45">
      <c r="A29" s="2"/>
      <c r="B29" s="2"/>
      <c r="C2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с. Димине, Кропівницький район, Кіровоградська область-порт Південний, причал №17</v>
      </c>
      <c r="D2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с. Димине, Кропівницький район, Кіровоградська область-порт Південний, причал №17, автомобіль BA4358НВ, причіп AX4496XF, водій Боіштян О.О.</v>
      </c>
      <c r="E29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53.36</v>
      </c>
      <c r="F29" s="4">
        <f>IF(Table1[[#This Row],[ціна за тонну з ПДВ]]/1.2=0, "", Table1[[#This Row],[ціна за тонну з ПДВ]]/1.2)</f>
        <v>833.33333333333337</v>
      </c>
      <c r="G29">
        <v>68</v>
      </c>
      <c r="H29">
        <v>2</v>
      </c>
      <c r="I29" t="s">
        <v>114</v>
      </c>
      <c r="J29" t="s">
        <v>33</v>
      </c>
      <c r="K29">
        <v>199785</v>
      </c>
      <c r="L29" s="3">
        <v>46192</v>
      </c>
      <c r="M29" s="3">
        <v>46193</v>
      </c>
      <c r="N29" t="s">
        <v>115</v>
      </c>
      <c r="O29" t="s">
        <v>18</v>
      </c>
      <c r="P29" t="s">
        <v>19</v>
      </c>
      <c r="Q29" t="s">
        <v>63</v>
      </c>
      <c r="R29" t="s">
        <v>31</v>
      </c>
      <c r="S29" s="4">
        <v>26.8</v>
      </c>
      <c r="T29" s="4">
        <v>26.68</v>
      </c>
      <c r="U29" s="4">
        <v>1000</v>
      </c>
      <c r="V29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26680</v>
      </c>
      <c r="W29" s="4">
        <f>IFERROR(IF(Table1[[#This Row],[сума з ПДВ]]/1.2=0, "", Table1[[#This Row],[сума з ПДВ]]/1.2), "")</f>
        <v>22233.333333333336</v>
      </c>
    </row>
    <row r="30" spans="1:23" x14ac:dyDescent="0.45">
      <c r="A30" s="2"/>
      <c r="B30" s="2" t="s">
        <v>169</v>
      </c>
      <c r="C30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</v>
      </c>
      <c r="D30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с.Каніж, автомобіль BA9731ЕО, причіп BA2192XF, водій Бабак Р.М</v>
      </c>
      <c r="E30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30" s="4" t="str">
        <f>IF(Table1[[#This Row],[ціна за тонну з ПДВ]]/1.2=0, "", Table1[[#This Row],[ціна за тонну з ПДВ]]/1.2)</f>
        <v/>
      </c>
      <c r="H30">
        <v>2</v>
      </c>
      <c r="I30" t="s">
        <v>186</v>
      </c>
      <c r="J30" t="s">
        <v>123</v>
      </c>
      <c r="K30" s="14" t="s">
        <v>122</v>
      </c>
      <c r="L30" s="3">
        <v>46195</v>
      </c>
      <c r="M30" s="3">
        <v>46195</v>
      </c>
      <c r="N30" t="s">
        <v>124</v>
      </c>
      <c r="O30" t="s">
        <v>125</v>
      </c>
      <c r="P30" t="s">
        <v>85</v>
      </c>
      <c r="Q30" t="s">
        <v>126</v>
      </c>
      <c r="R30" t="s">
        <v>158</v>
      </c>
      <c r="S30" s="4">
        <v>23.8</v>
      </c>
      <c r="T30" s="4">
        <v>23.8</v>
      </c>
      <c r="V30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30" s="4" t="str">
        <f>IFERROR(IF(Table1[[#This Row],[сума з ПДВ]]/1.2=0, "", Table1[[#This Row],[сума з ПДВ]]/1.2), "")</f>
        <v/>
      </c>
    </row>
    <row r="31" spans="1:23" x14ac:dyDescent="0.45">
      <c r="A31" s="2"/>
      <c r="B31" s="2" t="s">
        <v>169</v>
      </c>
      <c r="C31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</v>
      </c>
      <c r="D31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с.Каніж, автомобіль BA2215CB, причіп ВA8142XР, водій Карман В. Ю.</v>
      </c>
      <c r="E31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31" s="4" t="str">
        <f>IF(Table1[[#This Row],[ціна за тонну з ПДВ]]/1.2=0, "", Table1[[#This Row],[ціна за тонну з ПДВ]]/1.2)</f>
        <v/>
      </c>
      <c r="H31">
        <v>4</v>
      </c>
      <c r="I31" t="s">
        <v>186</v>
      </c>
      <c r="J31" t="s">
        <v>123</v>
      </c>
      <c r="K31" s="14" t="s">
        <v>127</v>
      </c>
      <c r="L31" s="3">
        <v>46195</v>
      </c>
      <c r="M31" s="3">
        <v>46195</v>
      </c>
      <c r="N31" t="s">
        <v>28</v>
      </c>
      <c r="O31" t="s">
        <v>29</v>
      </c>
      <c r="P31" t="s">
        <v>30</v>
      </c>
      <c r="Q31" t="s">
        <v>126</v>
      </c>
      <c r="R31" t="s">
        <v>158</v>
      </c>
      <c r="S31" s="4">
        <v>23.8</v>
      </c>
      <c r="T31" s="4">
        <v>23.8</v>
      </c>
      <c r="V31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31" s="4" t="str">
        <f>IFERROR(IF(Table1[[#This Row],[сума з ПДВ]]/1.2=0, "", Table1[[#This Row],[сума з ПДВ]]/1.2), "")</f>
        <v/>
      </c>
    </row>
    <row r="32" spans="1:23" x14ac:dyDescent="0.45">
      <c r="A32" s="2"/>
      <c r="B32" s="2" t="s">
        <v>169</v>
      </c>
      <c r="C3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</v>
      </c>
      <c r="D3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с.Каніж, автомобіль BA0933HC, причіп BA4176XF, водій Гаморя О.В.</v>
      </c>
      <c r="E32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32" s="4" t="str">
        <f>IF(Table1[[#This Row],[ціна за тонну з ПДВ]]/1.2=0, "", Table1[[#This Row],[ціна за тонну з ПДВ]]/1.2)</f>
        <v/>
      </c>
      <c r="H32">
        <v>2</v>
      </c>
      <c r="I32" t="s">
        <v>186</v>
      </c>
      <c r="J32" t="s">
        <v>123</v>
      </c>
      <c r="K32" s="14" t="s">
        <v>128</v>
      </c>
      <c r="L32" s="3">
        <v>46195</v>
      </c>
      <c r="M32" s="3">
        <v>46195</v>
      </c>
      <c r="N32" t="s">
        <v>129</v>
      </c>
      <c r="O32" t="s">
        <v>62</v>
      </c>
      <c r="P32" t="s">
        <v>60</v>
      </c>
      <c r="Q32" t="s">
        <v>126</v>
      </c>
      <c r="R32" t="s">
        <v>158</v>
      </c>
      <c r="S32" s="4">
        <v>24</v>
      </c>
      <c r="T32" s="4">
        <v>24</v>
      </c>
      <c r="V32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32" s="4" t="str">
        <f>IFERROR(IF(Table1[[#This Row],[сума з ПДВ]]/1.2=0, "", Table1[[#This Row],[сума з ПДВ]]/1.2), "")</f>
        <v/>
      </c>
    </row>
    <row r="33" spans="1:23" x14ac:dyDescent="0.45">
      <c r="A33" s="2"/>
      <c r="B33" s="2" t="s">
        <v>169</v>
      </c>
      <c r="C3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</v>
      </c>
      <c r="D3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добрив за маршрутом Кіровоградська обл., р-н.Кропивницький, Кропивницька ТГ м.Кропивницький, вул.Аджамська-Кіровоградська обл., р-н.Нопоукраїнський, Новомиргородскка ТГ с.Каніж, автомобіль ВА9983ЕО, причіп ВА5530ХF, водій Протасов О.Г.</v>
      </c>
      <c r="E33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33" s="4" t="str">
        <f>IF(Table1[[#This Row],[ціна за тонну з ПДВ]]/1.2=0, "", Table1[[#This Row],[ціна за тонну з ПДВ]]/1.2)</f>
        <v/>
      </c>
      <c r="H33">
        <v>5</v>
      </c>
      <c r="I33" t="s">
        <v>186</v>
      </c>
      <c r="J33" t="s">
        <v>123</v>
      </c>
      <c r="K33" s="14" t="s">
        <v>155</v>
      </c>
      <c r="L33" s="3">
        <v>46195</v>
      </c>
      <c r="M33" s="3">
        <v>46195</v>
      </c>
      <c r="N33" t="s">
        <v>156</v>
      </c>
      <c r="O33" t="s">
        <v>157</v>
      </c>
      <c r="P33" t="s">
        <v>98</v>
      </c>
      <c r="Q33" t="s">
        <v>126</v>
      </c>
      <c r="R33" t="s">
        <v>158</v>
      </c>
      <c r="S33" s="4"/>
      <c r="V33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33" s="4" t="str">
        <f>IFERROR(IF(Table1[[#This Row],[сума з ПДВ]]/1.2=0, "", Table1[[#This Row],[сума з ПДВ]]/1.2), "")</f>
        <v/>
      </c>
    </row>
    <row r="34" spans="1:23" x14ac:dyDescent="0.45">
      <c r="A34" s="2"/>
      <c r="B34" s="2"/>
      <c r="C3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ячменю за маршрутом с. Васютинці, Черкаська обл.-Одеська обл., 1-й км Автодороги порту "Південний"</v>
      </c>
      <c r="D3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ячменю за маршрутом с. Васютинці, Черкаська обл.-Одеська обл., 1-й км Автодороги порту "Південний", автомобіль ВА4171СС, причіп ВА7851ХР, водій Рябовал Р.В.</v>
      </c>
      <c r="E34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80.38</v>
      </c>
      <c r="F34" s="4">
        <f>IF(Table1[[#This Row],[ціна за тонну з ПДВ]]/1.2=0, "", Table1[[#This Row],[ціна за тонну з ПДВ]]/1.2)</f>
        <v>1166.6666666666667</v>
      </c>
      <c r="G34">
        <v>279</v>
      </c>
      <c r="H34">
        <v>3</v>
      </c>
      <c r="I34" t="s">
        <v>186</v>
      </c>
      <c r="J34" t="s">
        <v>84</v>
      </c>
      <c r="K34">
        <v>298</v>
      </c>
      <c r="L34" s="3">
        <v>46195</v>
      </c>
      <c r="M34" s="3">
        <v>46196</v>
      </c>
      <c r="N34" t="s">
        <v>131</v>
      </c>
      <c r="O34" t="s">
        <v>132</v>
      </c>
      <c r="P34" t="s">
        <v>130</v>
      </c>
      <c r="Q34" t="s">
        <v>89</v>
      </c>
      <c r="R34" t="s">
        <v>86</v>
      </c>
      <c r="S34" s="4">
        <v>26.2</v>
      </c>
      <c r="T34" s="4">
        <v>26.18</v>
      </c>
      <c r="U34" s="4">
        <v>1400</v>
      </c>
      <c r="V34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36652</v>
      </c>
      <c r="W34" s="4">
        <f>IFERROR(IF(Table1[[#This Row],[сума з ПДВ]]/1.2=0, "", Table1[[#This Row],[сума з ПДВ]]/1.2), "")</f>
        <v>30543.333333333336</v>
      </c>
    </row>
    <row r="35" spans="1:23" x14ac:dyDescent="0.45">
      <c r="A35" s="2"/>
      <c r="B35" s="2"/>
      <c r="C3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</v>
      </c>
      <c r="D3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шосе, автомобіль BA9728EO, причіп AX4497XF, водій Гладир А. М.</v>
      </c>
      <c r="E35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28.7</v>
      </c>
      <c r="F35" s="4">
        <f>IF(Table1[[#This Row],[ціна за тонну з ПДВ]]/1.2=0, "", Table1[[#This Row],[ціна за тонну з ПДВ]]/1.2)</f>
        <v>416.66666666666669</v>
      </c>
      <c r="G35">
        <v>278</v>
      </c>
      <c r="I35" t="s">
        <v>186</v>
      </c>
      <c r="J35" t="s">
        <v>133</v>
      </c>
      <c r="K35" t="s">
        <v>134</v>
      </c>
      <c r="L35" s="3">
        <v>46194</v>
      </c>
      <c r="M35" s="3">
        <v>46195</v>
      </c>
      <c r="N35" t="s">
        <v>135</v>
      </c>
      <c r="O35" t="s">
        <v>92</v>
      </c>
      <c r="P35" t="s">
        <v>93</v>
      </c>
      <c r="Q35" t="s">
        <v>137</v>
      </c>
      <c r="R35" t="s">
        <v>56</v>
      </c>
      <c r="S35" s="4">
        <v>28.68</v>
      </c>
      <c r="T35" s="4">
        <v>28.7</v>
      </c>
      <c r="U35" s="4">
        <v>500</v>
      </c>
      <c r="V35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14350</v>
      </c>
      <c r="W35" s="4">
        <f>IFERROR(IF(Table1[[#This Row],[сума з ПДВ]]/1.2=0, "", Table1[[#This Row],[сума з ПДВ]]/1.2), "")</f>
        <v>11958.333333333334</v>
      </c>
    </row>
    <row r="36" spans="1:23" x14ac:dyDescent="0.45">
      <c r="A36" s="2"/>
      <c r="B36" s="2"/>
      <c r="C3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</v>
      </c>
      <c r="D3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шосе, автомобіль BA5530EX, причіп BA2657XF, водій Лазарчук О.І.</v>
      </c>
      <c r="E36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26.94</v>
      </c>
      <c r="F36" s="4">
        <f>IF(Table1[[#This Row],[ціна за тонну з ПДВ]]/1.2=0, "", Table1[[#This Row],[ціна за тонну з ПДВ]]/1.2)</f>
        <v>416.66666666666669</v>
      </c>
      <c r="G36">
        <v>280</v>
      </c>
      <c r="I36" t="s">
        <v>186</v>
      </c>
      <c r="J36" t="s">
        <v>133</v>
      </c>
      <c r="K36" t="s">
        <v>136</v>
      </c>
      <c r="L36" s="3">
        <v>46195</v>
      </c>
      <c r="M36" s="3">
        <v>46196</v>
      </c>
      <c r="N36" t="s">
        <v>46</v>
      </c>
      <c r="O36" t="s">
        <v>47</v>
      </c>
      <c r="P36" t="s">
        <v>48</v>
      </c>
      <c r="Q36" t="s">
        <v>137</v>
      </c>
      <c r="R36" t="s">
        <v>56</v>
      </c>
      <c r="S36" s="4">
        <v>26.92</v>
      </c>
      <c r="T36" s="4">
        <v>26.94</v>
      </c>
      <c r="U36" s="4">
        <v>500</v>
      </c>
      <c r="V36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13470</v>
      </c>
      <c r="W36" s="4">
        <f>IFERROR(IF(Table1[[#This Row],[сума з ПДВ]]/1.2=0, "", Table1[[#This Row],[сума з ПДВ]]/1.2), "")</f>
        <v>11225</v>
      </c>
    </row>
    <row r="37" spans="1:23" x14ac:dyDescent="0.45">
      <c r="A37" s="2"/>
      <c r="B37" s="2"/>
      <c r="C37" t="s">
        <v>139</v>
      </c>
      <c r="D37" t="s">
        <v>140</v>
      </c>
      <c r="E37" s="5" t="s">
        <v>141</v>
      </c>
      <c r="F37" s="4">
        <f>IF(Table1[[#This Row],[ціна за тонну з ПДВ]]/1.2=0, "", Table1[[#This Row],[ціна за тонну з ПДВ]]/1.2)</f>
        <v>416.66666666666669</v>
      </c>
      <c r="H37">
        <v>7</v>
      </c>
      <c r="I37" t="s">
        <v>114</v>
      </c>
      <c r="J37" t="s">
        <v>133</v>
      </c>
      <c r="K37" t="s">
        <v>138</v>
      </c>
      <c r="L37" s="3">
        <v>46195</v>
      </c>
      <c r="M37" s="3">
        <v>46196</v>
      </c>
      <c r="N37" t="s">
        <v>17</v>
      </c>
      <c r="O37" t="s">
        <v>18</v>
      </c>
      <c r="P37" t="s">
        <v>19</v>
      </c>
      <c r="Q37" t="s">
        <v>137</v>
      </c>
      <c r="R37" t="s">
        <v>56</v>
      </c>
      <c r="S37" s="4">
        <v>26.9</v>
      </c>
      <c r="T37" s="4">
        <v>26.88</v>
      </c>
      <c r="U37" s="4">
        <v>500</v>
      </c>
      <c r="V37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13440</v>
      </c>
      <c r="W37" s="4">
        <f>IFERROR(IF(Table1[[#This Row],[сума з ПДВ]]/1.2=0, "", Table1[[#This Row],[сума з ПДВ]]/1.2), "")</f>
        <v>11200</v>
      </c>
    </row>
    <row r="38" spans="1:23" x14ac:dyDescent="0.45">
      <c r="A38" s="2"/>
      <c r="B38" s="2"/>
      <c r="C3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</v>
      </c>
      <c r="D3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кукурдзи за маршрутом Кіровоградська обл., Новоукраїнський р-н, місто Мала Виска, вул.Велігіна-Одеська обл., порт Південний, причал № 18, автомобіль ВА5530ЕХ, причіп ВА2657XF, водій Лазарчук О.І.</v>
      </c>
      <c r="E38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106.27999999999999</v>
      </c>
      <c r="F38" s="4">
        <f>IF(Table1[[#This Row],[ціна за тонну з ПДВ]]/1.2=0, "", Table1[[#This Row],[ціна за тонну з ПДВ]]/1.2)</f>
        <v>875</v>
      </c>
      <c r="G38">
        <v>271</v>
      </c>
      <c r="H38">
        <v>4</v>
      </c>
      <c r="I38" t="s">
        <v>186</v>
      </c>
      <c r="J38" t="s">
        <v>94</v>
      </c>
      <c r="K38">
        <v>4</v>
      </c>
      <c r="L38" s="3">
        <v>46193</v>
      </c>
      <c r="M38" s="3">
        <v>46193</v>
      </c>
      <c r="N38" t="s">
        <v>50</v>
      </c>
      <c r="O38" t="s">
        <v>117</v>
      </c>
      <c r="P38" t="s">
        <v>48</v>
      </c>
      <c r="Q38" t="s">
        <v>95</v>
      </c>
      <c r="R38" t="s">
        <v>20</v>
      </c>
      <c r="S38" s="4">
        <v>27.08</v>
      </c>
      <c r="T38" s="4">
        <v>27.02</v>
      </c>
      <c r="U38" s="4">
        <v>1050</v>
      </c>
      <c r="V38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28371</v>
      </c>
      <c r="W38" s="4">
        <f>IFERROR(IF(Table1[[#This Row],[сума з ПДВ]]/1.2=0, "", Table1[[#This Row],[сума з ПДВ]]/1.2), "")</f>
        <v>23642.5</v>
      </c>
    </row>
    <row r="39" spans="1:23" x14ac:dyDescent="0.45">
      <c r="A39" s="2"/>
      <c r="B39" s="2"/>
      <c r="C3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Кровоградська обл., Кропивницький р-н, с. Оситняжка- порт Південний, причал №16</v>
      </c>
      <c r="D3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Кровоградська обл., Кропивницький р-н, с. Оситняжка- порт Південний, причал №16, автомобіль ВА9258ЕК, причіп АХ5297ХО, водій Соловей О.С.</v>
      </c>
      <c r="E39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39" s="4">
        <f>IF(Table1[[#This Row],[ціна за тонну з ПДВ]]/1.2=0, "", Table1[[#This Row],[ціна за тонну з ПДВ]]/1.2)</f>
        <v>833.33333333333337</v>
      </c>
      <c r="I39" t="s">
        <v>114</v>
      </c>
      <c r="J39" t="s">
        <v>33</v>
      </c>
      <c r="K39">
        <v>199842</v>
      </c>
      <c r="L39" s="3">
        <v>46196</v>
      </c>
      <c r="M39" s="3">
        <v>46197</v>
      </c>
      <c r="N39" t="s">
        <v>142</v>
      </c>
      <c r="O39" t="s">
        <v>143</v>
      </c>
      <c r="P39" t="s">
        <v>144</v>
      </c>
      <c r="Q39" t="s">
        <v>145</v>
      </c>
      <c r="R39" t="s">
        <v>31</v>
      </c>
      <c r="S39" s="4">
        <v>26.74</v>
      </c>
      <c r="T39" s="4">
        <v>26.68</v>
      </c>
      <c r="U39" s="4">
        <v>1000</v>
      </c>
      <c r="V39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26680</v>
      </c>
      <c r="W39" s="4">
        <f>IFERROR(IF(Table1[[#This Row],[сума з ПДВ]]/1.2=0, "", Table1[[#This Row],[сума з ПДВ]]/1.2), "")</f>
        <v>22233.333333333336</v>
      </c>
    </row>
    <row r="40" spans="1:23" x14ac:dyDescent="0.45">
      <c r="A40" s="2"/>
      <c r="B40" s="2"/>
      <c r="C40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Кровоградська обл., Кропивницький р-н, с. Оситняжка- порт Південний, причал №17</v>
      </c>
      <c r="D40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Кровоградська обл., Кропивницький р-н, с. Оситняжка- порт Південний, причал №17, автомобіль BA2215CB, причіп ВАВ142ХР, водій Карман В. Ю.</v>
      </c>
      <c r="E40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0" s="4">
        <f>IF(Table1[[#This Row],[ціна за тонну з ПДВ]]/1.2=0, "", Table1[[#This Row],[ціна за тонну з ПДВ]]/1.2)</f>
        <v>833.33333333333337</v>
      </c>
      <c r="G40">
        <v>282</v>
      </c>
      <c r="H40">
        <v>5</v>
      </c>
      <c r="I40" t="s">
        <v>186</v>
      </c>
      <c r="J40" t="s">
        <v>33</v>
      </c>
      <c r="K40">
        <v>199838</v>
      </c>
      <c r="L40" s="3">
        <v>46196</v>
      </c>
      <c r="M40" s="3">
        <v>46196</v>
      </c>
      <c r="N40" t="s">
        <v>28</v>
      </c>
      <c r="O40" t="s">
        <v>148</v>
      </c>
      <c r="P40" t="s">
        <v>30</v>
      </c>
      <c r="Q40" t="s">
        <v>146</v>
      </c>
      <c r="R40" t="s">
        <v>31</v>
      </c>
      <c r="S40" s="4">
        <v>25.98</v>
      </c>
      <c r="T40" s="4">
        <v>25.92</v>
      </c>
      <c r="U40" s="4">
        <v>1000</v>
      </c>
      <c r="V40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25920</v>
      </c>
      <c r="W40" s="4">
        <f>IFERROR(IF(Table1[[#This Row],[сума з ПДВ]]/1.2=0, "", Table1[[#This Row],[сума з ПДВ]]/1.2), "")</f>
        <v>21600</v>
      </c>
    </row>
    <row r="41" spans="1:23" x14ac:dyDescent="0.45">
      <c r="A41" s="2"/>
      <c r="B41" s="2"/>
      <c r="C41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Кровоградська обл., Кропивницький р-н, с. Оситняжка- порт Південний, причал №18</v>
      </c>
      <c r="D41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Кровоградська обл., Кропивницький р-н, с. Оситняжка- порт Південний, причал №18, автомобіль ВА7225ВК, причіп BA4621XF, водій Тертиця В.М.</v>
      </c>
      <c r="E41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1" s="4">
        <f>IF(Table1[[#This Row],[ціна за тонну з ПДВ]]/1.2=0, "", Table1[[#This Row],[ціна за тонну з ПДВ]]/1.2)</f>
        <v>833.33333333333337</v>
      </c>
      <c r="G41">
        <v>282</v>
      </c>
      <c r="I41" t="s">
        <v>186</v>
      </c>
      <c r="J41" t="s">
        <v>33</v>
      </c>
      <c r="K41">
        <v>199841</v>
      </c>
      <c r="L41" s="3">
        <v>46196</v>
      </c>
      <c r="M41" s="3">
        <v>46197</v>
      </c>
      <c r="N41" t="s">
        <v>149</v>
      </c>
      <c r="O41" t="s">
        <v>150</v>
      </c>
      <c r="P41" t="s">
        <v>75</v>
      </c>
      <c r="Q41" t="s">
        <v>147</v>
      </c>
      <c r="R41" t="s">
        <v>31</v>
      </c>
      <c r="S41" s="4">
        <v>27.58</v>
      </c>
      <c r="T41" s="4">
        <v>27.5</v>
      </c>
      <c r="U41" s="4">
        <v>1000</v>
      </c>
      <c r="V41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27500</v>
      </c>
      <c r="W41" s="4">
        <f>IFERROR(IF(Table1[[#This Row],[сума з ПДВ]]/1.2=0, "", Table1[[#This Row],[сума з ПДВ]]/1.2), "")</f>
        <v>22916.666666666668</v>
      </c>
    </row>
    <row r="42" spans="1:23" x14ac:dyDescent="0.45">
      <c r="A42" s="2"/>
      <c r="B42" s="2"/>
      <c r="C4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Кровоградська обл., Кропивницький р-н, с. Оситняжка- порт Південний, причал №19</v>
      </c>
      <c r="D4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Кровоградська обл., Кропивницький р-н, с. Оситняжка- порт Південний, причал №19, автомобіль ВА9728ЕО, причіп AX4497XF, водій Гладир А. М.</v>
      </c>
      <c r="E42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2" s="4">
        <f>IF(Table1[[#This Row],[ціна за тонну з ПДВ]]/1.2=0, "", Table1[[#This Row],[ціна за тонну з ПДВ]]/1.2)</f>
        <v>833.33333333333337</v>
      </c>
      <c r="G42">
        <v>282</v>
      </c>
      <c r="I42" t="s">
        <v>186</v>
      </c>
      <c r="J42" t="s">
        <v>33</v>
      </c>
      <c r="K42">
        <v>199835</v>
      </c>
      <c r="L42" s="3">
        <v>46196</v>
      </c>
      <c r="M42" s="3">
        <v>46196</v>
      </c>
      <c r="N42" t="s">
        <v>119</v>
      </c>
      <c r="O42" t="s">
        <v>92</v>
      </c>
      <c r="P42" t="s">
        <v>93</v>
      </c>
      <c r="Q42" t="s">
        <v>151</v>
      </c>
      <c r="R42" t="s">
        <v>31</v>
      </c>
      <c r="S42" s="4">
        <v>27.84</v>
      </c>
      <c r="T42" s="4">
        <v>27.82</v>
      </c>
      <c r="U42" s="4">
        <v>1000</v>
      </c>
      <c r="V42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27820</v>
      </c>
      <c r="W42" s="4">
        <f>IFERROR(IF(Table1[[#This Row],[сума з ПДВ]]/1.2=0, "", Table1[[#This Row],[сума з ПДВ]]/1.2), "")</f>
        <v>23183.333333333336</v>
      </c>
    </row>
    <row r="43" spans="1:23" x14ac:dyDescent="0.45">
      <c r="A43" s="2"/>
      <c r="B43" s="2"/>
      <c r="C4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Кровоградська обл., Кропивницький р-н, с. Оситняжка- порт Південний, причал №20</v>
      </c>
      <c r="D4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Кровоградська обл., Кропивницький р-н, с. Оситняжка- порт Південний, причал №20, автомобіль BA1141BM, причіп ВA6104ХР, водій Стеценко О.А.</v>
      </c>
      <c r="E43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3" s="4">
        <f>IF(Table1[[#This Row],[ціна за тонну з ПДВ]]/1.2=0, "", Table1[[#This Row],[ціна за тонну з ПДВ]]/1.2)</f>
        <v>833.33333333333337</v>
      </c>
      <c r="G43">
        <v>282</v>
      </c>
      <c r="I43" t="s">
        <v>186</v>
      </c>
      <c r="J43" t="s">
        <v>33</v>
      </c>
      <c r="K43">
        <v>199837</v>
      </c>
      <c r="L43" s="3">
        <v>46196</v>
      </c>
      <c r="M43" s="3">
        <v>46197</v>
      </c>
      <c r="N43" t="s">
        <v>153</v>
      </c>
      <c r="O43" t="s">
        <v>154</v>
      </c>
      <c r="P43" t="s">
        <v>36</v>
      </c>
      <c r="Q43" t="s">
        <v>152</v>
      </c>
      <c r="R43" t="s">
        <v>31</v>
      </c>
      <c r="S43" s="4">
        <v>25.48</v>
      </c>
      <c r="T43" s="4">
        <v>25.44</v>
      </c>
      <c r="U43" s="4">
        <v>1000</v>
      </c>
      <c r="V43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25440</v>
      </c>
      <c r="W43" s="4">
        <f>IFERROR(IF(Table1[[#This Row],[сума з ПДВ]]/1.2=0, "", Table1[[#This Row],[сума з ПДВ]]/1.2), "")</f>
        <v>21200</v>
      </c>
    </row>
    <row r="44" spans="1:23" x14ac:dyDescent="0.45">
      <c r="A44" s="2"/>
      <c r="B44" s="2"/>
      <c r="C4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Кіровоградська обл., Кропивницький р-н, с. Оситняжка-порт Південний, причал №16</v>
      </c>
      <c r="D4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Кіровоградська обл., Кропивницький р-н, с. Оситняжка-порт Південний, причал №16, автомобіль BA1144ВМ, причіп АX3947XМ, водій Соколенко В.С.</v>
      </c>
      <c r="E44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4" s="4">
        <f>IF(Table1[[#This Row],[ціна за тонну з ПДВ]]/1.2=0, "", Table1[[#This Row],[ціна за тонну з ПДВ]]/1.2)</f>
        <v>833.33333333333337</v>
      </c>
      <c r="G44">
        <v>282</v>
      </c>
      <c r="I44" t="s">
        <v>186</v>
      </c>
      <c r="J44" t="s">
        <v>33</v>
      </c>
      <c r="K44">
        <v>199839</v>
      </c>
      <c r="L44" s="3">
        <v>46196</v>
      </c>
      <c r="M44" s="3">
        <v>46197</v>
      </c>
      <c r="N44" t="s">
        <v>160</v>
      </c>
      <c r="O44" t="s">
        <v>161</v>
      </c>
      <c r="P44" t="s">
        <v>162</v>
      </c>
      <c r="Q44" t="s">
        <v>163</v>
      </c>
      <c r="R44" t="s">
        <v>31</v>
      </c>
      <c r="S44" s="4">
        <v>27.08</v>
      </c>
      <c r="T44" s="4">
        <v>27.1</v>
      </c>
      <c r="U44" s="4">
        <v>1000</v>
      </c>
      <c r="V44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27100</v>
      </c>
      <c r="W44" s="4">
        <f>IFERROR(IF(Table1[[#This Row],[сума з ПДВ]]/1.2=0, "", Table1[[#This Row],[сума з ПДВ]]/1.2), "")</f>
        <v>22583.333333333336</v>
      </c>
    </row>
    <row r="45" spans="1:23" x14ac:dyDescent="0.45">
      <c r="A45" s="2"/>
      <c r="B45" s="2"/>
      <c r="C4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Кіровоградська обл., Кропивницький р-н, с. Оситняжка-порт Південний, причал №16</v>
      </c>
      <c r="D4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Кіровоградська обл., Кропивницький р-н, с. Оситняжка-порт Південний, причал №16, автомобіль ВА9731ЕО, причіп BA2192XF, водій Бабак Р.М</v>
      </c>
      <c r="E45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5" s="4">
        <f>IF(Table1[[#This Row],[ціна за тонну з ПДВ]]/1.2=0, "", Table1[[#This Row],[ціна за тонну з ПДВ]]/1.2)</f>
        <v>833.33333333333337</v>
      </c>
      <c r="G45">
        <v>282</v>
      </c>
      <c r="I45" t="s">
        <v>186</v>
      </c>
      <c r="J45" t="s">
        <v>33</v>
      </c>
      <c r="K45">
        <v>199840</v>
      </c>
      <c r="L45" s="3">
        <v>46196</v>
      </c>
      <c r="M45" s="3">
        <v>46197</v>
      </c>
      <c r="N45" t="s">
        <v>166</v>
      </c>
      <c r="O45" t="s">
        <v>125</v>
      </c>
      <c r="P45" t="s">
        <v>85</v>
      </c>
      <c r="Q45" t="s">
        <v>163</v>
      </c>
      <c r="R45" t="s">
        <v>31</v>
      </c>
      <c r="S45" s="4">
        <v>26.96</v>
      </c>
      <c r="T45" s="4">
        <v>26.92</v>
      </c>
      <c r="U45" s="4">
        <v>1000</v>
      </c>
      <c r="V45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26920</v>
      </c>
      <c r="W45" s="4">
        <f>IFERROR(IF(Table1[[#This Row],[сума з ПДВ]]/1.2=0, "", Table1[[#This Row],[сума з ПДВ]]/1.2), "")</f>
        <v>22433.333333333336</v>
      </c>
    </row>
    <row r="46" spans="1:23" x14ac:dyDescent="0.45">
      <c r="A46" s="2"/>
      <c r="B46" s="2"/>
      <c r="C4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Кіровоградська обл., Кропивницький р-н, с. Оситняжка-порт Південний, причал №17</v>
      </c>
      <c r="D4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Кіровоградська обл., Кропивницький р-н, с. Оситняжка-порт Південний, причал №17, автомобіль ВА0933НС, причіп BA4176XF, водій Гаморя О.В.</v>
      </c>
      <c r="E46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6" s="4">
        <f>IF(Table1[[#This Row],[ціна за тонну з ПДВ]]/1.2=0, "", Table1[[#This Row],[ціна за тонну з ПДВ]]/1.2)</f>
        <v>833.33333333333337</v>
      </c>
      <c r="G46">
        <v>282</v>
      </c>
      <c r="I46" t="s">
        <v>186</v>
      </c>
      <c r="J46" t="s">
        <v>33</v>
      </c>
      <c r="K46">
        <v>199836</v>
      </c>
      <c r="L46" s="3">
        <v>46196</v>
      </c>
      <c r="M46" s="3">
        <v>46197</v>
      </c>
      <c r="N46" t="s">
        <v>105</v>
      </c>
      <c r="O46" t="s">
        <v>62</v>
      </c>
      <c r="P46" t="s">
        <v>60</v>
      </c>
      <c r="Q46" t="s">
        <v>167</v>
      </c>
      <c r="R46" t="s">
        <v>31</v>
      </c>
      <c r="S46" s="4">
        <v>28.1</v>
      </c>
      <c r="T46" s="4">
        <v>28.08</v>
      </c>
      <c r="U46" s="4">
        <v>1000</v>
      </c>
      <c r="V46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28080</v>
      </c>
      <c r="W46" s="4">
        <f>IFERROR(IF(Table1[[#This Row],[сума з ПДВ]]/1.2=0, "", Table1[[#This Row],[сума з ПДВ]]/1.2), "")</f>
        <v>23400</v>
      </c>
    </row>
    <row r="47" spans="1:23" x14ac:dyDescent="0.45">
      <c r="A47" s="2"/>
      <c r="B47" s="2"/>
      <c r="C47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Кіровоградська обл., Кропивницький р-н, с. Оситняжка-порт Південний, причал №18</v>
      </c>
      <c r="D47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Кіровоградська обл., Кропивницький р-н, с. Оситняжка-порт Південний, причал №18, автомобіль ВА0251НЕ, причіп ВА4672ХО, водій Дяченко О.Ю.</v>
      </c>
      <c r="E47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214.03999999999996</v>
      </c>
      <c r="F47" s="4">
        <f>IF(Table1[[#This Row],[ціна за тонну з ПДВ]]/1.2=0, "", Table1[[#This Row],[ціна за тонну з ПДВ]]/1.2)</f>
        <v>833.33333333333337</v>
      </c>
      <c r="G47">
        <v>282</v>
      </c>
      <c r="I47" t="s">
        <v>186</v>
      </c>
      <c r="J47" t="s">
        <v>33</v>
      </c>
      <c r="K47">
        <v>199846</v>
      </c>
      <c r="L47" s="3">
        <v>46197</v>
      </c>
      <c r="M47" s="3">
        <v>46197</v>
      </c>
      <c r="N47" t="s">
        <v>107</v>
      </c>
      <c r="O47" t="s">
        <v>108</v>
      </c>
      <c r="P47" t="s">
        <v>184</v>
      </c>
      <c r="Q47" t="s">
        <v>168</v>
      </c>
      <c r="R47" t="s">
        <v>31</v>
      </c>
      <c r="S47" s="4">
        <v>25.34</v>
      </c>
      <c r="T47" s="4">
        <v>25.26</v>
      </c>
      <c r="U47" s="4">
        <v>1000</v>
      </c>
      <c r="V47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25260</v>
      </c>
      <c r="W47" s="4">
        <f>IFERROR(IF(Table1[[#This Row],[сума з ПДВ]]/1.2=0, "", Table1[[#This Row],[сума з ПДВ]]/1.2), "")</f>
        <v>21050</v>
      </c>
    </row>
    <row r="48" spans="1:23" x14ac:dyDescent="0.45">
      <c r="A48" s="2"/>
      <c r="B48" s="2"/>
      <c r="C4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пшениці за маршрутом Кіровоградська обл., Кропивницький р-н, с. Оситняжка-порт Південний, причал №16</v>
      </c>
      <c r="D4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пшениці за маршрутом Кіровоградська обл., Кропивницький р-н, с. Оситняжка-порт Південний, причал №16, автомобіль BA4358HB, причіп AX4496XF, водій Боіштян О.О.</v>
      </c>
      <c r="E48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48" s="4">
        <f>IF(Table1[[#This Row],[ціна за тонну з ПДВ]]/1.2=0, "", Table1[[#This Row],[ціна за тонну з ПДВ]]/1.2)</f>
        <v>833.33333333333337</v>
      </c>
      <c r="H48">
        <v>4</v>
      </c>
      <c r="I48" t="s">
        <v>114</v>
      </c>
      <c r="J48" t="s">
        <v>33</v>
      </c>
      <c r="K48">
        <v>199845</v>
      </c>
      <c r="L48" s="3">
        <v>46197</v>
      </c>
      <c r="M48" s="3">
        <v>46197</v>
      </c>
      <c r="N48" t="s">
        <v>17</v>
      </c>
      <c r="O48" t="s">
        <v>18</v>
      </c>
      <c r="P48" t="s">
        <v>19</v>
      </c>
      <c r="Q48" t="s">
        <v>163</v>
      </c>
      <c r="R48" t="s">
        <v>31</v>
      </c>
      <c r="S48" s="4">
        <v>26.82</v>
      </c>
      <c r="T48" s="4">
        <v>26.76</v>
      </c>
      <c r="U48" s="4">
        <v>1000</v>
      </c>
      <c r="V48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26760</v>
      </c>
      <c r="W48" s="4">
        <f>IFERROR(IF(Table1[[#This Row],[сума з ПДВ]]/1.2=0, "", Table1[[#This Row],[сума з ПДВ]]/1.2), "")</f>
        <v>22300</v>
      </c>
    </row>
    <row r="49" spans="1:23" x14ac:dyDescent="0.45">
      <c r="A49" s="2"/>
      <c r="B49" s="2"/>
      <c r="C4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шроту за маршрутом с. Власівка, Олександрійський р-н, Кіровоградська обл.- Одеська область, Одеський район, сільська рада Визирська</v>
      </c>
      <c r="D4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шроту за маршрутом с. Власівка, Олександрійський р-н, Кіровоградська обл.- Одеська область, Одеський район, сільська рада Визирська, автомобіль BA5530EX, причіп BA2657XF, водій Лазарчук О.І.</v>
      </c>
      <c r="E49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27.22</v>
      </c>
      <c r="F49" s="4">
        <f>IF(Table1[[#This Row],[ціна за тонну з ПДВ]]/1.2=0, "", Table1[[#This Row],[ціна за тонну з ПДВ]]/1.2)</f>
        <v>1205.8333333333335</v>
      </c>
      <c r="G49">
        <v>281</v>
      </c>
      <c r="H49">
        <v>5</v>
      </c>
      <c r="I49" t="s">
        <v>186</v>
      </c>
      <c r="J49" t="s">
        <v>164</v>
      </c>
      <c r="K49">
        <v>259</v>
      </c>
      <c r="L49" s="3">
        <v>46196</v>
      </c>
      <c r="M49" s="3">
        <v>46197</v>
      </c>
      <c r="N49" t="s">
        <v>46</v>
      </c>
      <c r="O49" t="s">
        <v>47</v>
      </c>
      <c r="P49" t="s">
        <v>48</v>
      </c>
      <c r="Q49" t="s">
        <v>165</v>
      </c>
      <c r="R49" t="s">
        <v>56</v>
      </c>
      <c r="S49" s="4">
        <v>27.1</v>
      </c>
      <c r="T49" s="4">
        <v>27.22</v>
      </c>
      <c r="U49" s="4">
        <v>1447</v>
      </c>
      <c r="V49" s="4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>39387.339999999997</v>
      </c>
      <c r="W49" s="4">
        <f>IFERROR(IF(Table1[[#This Row],[сума з ПДВ]]/1.2=0, "", Table1[[#This Row],[сума з ПДВ]]/1.2), "")</f>
        <v>32822.783333333333</v>
      </c>
    </row>
    <row r="50" spans="1:23" x14ac:dyDescent="0.45">
      <c r="A50" s="2"/>
      <c r="B50" s="2"/>
      <c r="C50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сої за маршрутом Кіровоградська область, Кропивницький район, село Бережинка - Кіровоградська обл., м. Кропивницький, смт.Нове</v>
      </c>
      <c r="D50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сої за маршрутом Кіровоградська область, Кропивницький район, село Бережинка - Кіровоградська обл., м. Кропивницький, смт.Нове, автомобіль BA0286CC, причіп BA4671XO, водій Ракул К.Ю.</v>
      </c>
      <c r="E50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52.599999999999994</v>
      </c>
      <c r="G50">
        <v>283</v>
      </c>
      <c r="H50">
        <v>2</v>
      </c>
      <c r="I50" t="s">
        <v>186</v>
      </c>
      <c r="J50" t="s">
        <v>170</v>
      </c>
      <c r="K50">
        <v>1</v>
      </c>
      <c r="L50" s="3">
        <v>46197</v>
      </c>
      <c r="M50" s="3">
        <v>46198</v>
      </c>
      <c r="N50" t="s">
        <v>110</v>
      </c>
      <c r="O50" t="s">
        <v>171</v>
      </c>
      <c r="P50" t="s">
        <v>112</v>
      </c>
      <c r="Q50" t="s">
        <v>172</v>
      </c>
      <c r="R50" t="s">
        <v>52</v>
      </c>
      <c r="S50" s="4">
        <v>27.72</v>
      </c>
      <c r="T50" s="4">
        <v>27.7</v>
      </c>
      <c r="V50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0" s="4" t="str">
        <f>IFERROR(IF(Table1[[#This Row],[сума з ПДВ]]/1.2=0, "", Table1[[#This Row],[сума з ПДВ]]/1.2), "")</f>
        <v/>
      </c>
    </row>
    <row r="51" spans="1:23" x14ac:dyDescent="0.45">
      <c r="A51" s="2"/>
      <c r="B51" s="2"/>
      <c r="C51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сої за маршрутом Кіровоградська область, Кропивницький район, село Бережинка - Кіровоградська обл., м. Кропивницький, смт.Нове</v>
      </c>
      <c r="D51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сої за маршрутом Кіровоградська область, Кропивницький район, село Бережинка - Кіровоградська обл., м. Кропивницький, смт.Нове, автомобіль BA2215CB, причіп BA8142XP, водій  Карман В.Ю.</v>
      </c>
      <c r="E51" s="5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>52.599999999999994</v>
      </c>
      <c r="F51" s="4" t="str">
        <f>IF(Table1[[#This Row],[ціна за тонну з ПДВ]]/1.2=0, "", Table1[[#This Row],[ціна за тонну з ПДВ]]/1.2)</f>
        <v/>
      </c>
      <c r="G51">
        <v>283</v>
      </c>
      <c r="H51">
        <v>2</v>
      </c>
      <c r="I51" t="s">
        <v>186</v>
      </c>
      <c r="J51" t="s">
        <v>170</v>
      </c>
      <c r="K51">
        <v>2</v>
      </c>
      <c r="L51" s="3">
        <v>46197</v>
      </c>
      <c r="M51" s="3">
        <v>46198</v>
      </c>
      <c r="N51" t="s">
        <v>28</v>
      </c>
      <c r="O51" t="s">
        <v>173</v>
      </c>
      <c r="P51" t="s">
        <v>174</v>
      </c>
      <c r="Q51" t="s">
        <v>172</v>
      </c>
      <c r="R51" t="s">
        <v>52</v>
      </c>
      <c r="S51" s="4">
        <v>24.9</v>
      </c>
      <c r="T51" s="4">
        <v>24.9</v>
      </c>
      <c r="V51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1" s="4" t="str">
        <f>IFERROR(IF(Table1[[#This Row],[сума з ПДВ]]/1.2=0, "", Table1[[#This Row],[сума з ПДВ]]/1.2), "")</f>
        <v/>
      </c>
    </row>
    <row r="52" spans="1:23" x14ac:dyDescent="0.45">
      <c r="A52" s="2"/>
      <c r="B52" s="2" t="s">
        <v>78</v>
      </c>
      <c r="C52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ячменю за маршрутом Кіровоградська обл. Гайворонський р-н, смт. Сальково-ОМТ порт через ТОВ Одесса Ленд Компані</v>
      </c>
      <c r="D52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ячменю за маршрутом Кіровоградська обл. Гайворонський р-н, смт. Сальково-ОМТ порт через ТОВ Одесса Ленд Компані, автомобіль ВА9731ЕО, причіп ВА 2192ХF, водій Бабак Р.М</v>
      </c>
      <c r="E52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2" s="4" t="str">
        <f>IF(Table1[[#This Row],[ціна за тонну з ПДВ]]/1.2=0, "", Table1[[#This Row],[ціна за тонну з ПДВ]]/1.2)</f>
        <v/>
      </c>
      <c r="I52" t="s">
        <v>186</v>
      </c>
      <c r="J52" t="s">
        <v>175</v>
      </c>
      <c r="K52">
        <v>1293</v>
      </c>
      <c r="L52" s="3">
        <v>46197</v>
      </c>
      <c r="M52" s="3">
        <v>46198</v>
      </c>
      <c r="N52" t="s">
        <v>166</v>
      </c>
      <c r="O52" t="s">
        <v>176</v>
      </c>
      <c r="P52" t="s">
        <v>85</v>
      </c>
      <c r="Q52" t="s">
        <v>177</v>
      </c>
      <c r="R52" t="s">
        <v>86</v>
      </c>
      <c r="S52" s="4">
        <v>27.08</v>
      </c>
      <c r="T52" s="4">
        <v>27.06</v>
      </c>
      <c r="V52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2" s="4" t="str">
        <f>IFERROR(IF(Table1[[#This Row],[сума з ПДВ]]/1.2=0, "", Table1[[#This Row],[сума з ПДВ]]/1.2), "")</f>
        <v/>
      </c>
    </row>
    <row r="53" spans="1:23" x14ac:dyDescent="0.45">
      <c r="A53" s="2"/>
      <c r="B53" s="2" t="s">
        <v>78</v>
      </c>
      <c r="C53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ячменю за маршрутом Кіровоградська обл. Гайворонський р-н, смт. Сальково-ОМТ порт через ТОВ Одесса Ленд Компані</v>
      </c>
      <c r="D53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ячменю за маршрутом Кіровоградська обл. Гайворонський р-н, смт. Сальково-ОМТ порт через ТОВ Одесса Ленд Компані, автомобіль BA1144BM, причіп AX3947XM, водій Соколенко В.С.</v>
      </c>
      <c r="E53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3" s="4" t="str">
        <f>IF(Table1[[#This Row],[ціна за тонну з ПДВ]]/1.2=0, "", Table1[[#This Row],[ціна за тонну з ПДВ]]/1.2)</f>
        <v/>
      </c>
      <c r="I53" t="s">
        <v>186</v>
      </c>
      <c r="J53" t="s">
        <v>175</v>
      </c>
      <c r="K53">
        <v>1144</v>
      </c>
      <c r="L53" s="3">
        <v>46197</v>
      </c>
      <c r="M53" s="3">
        <v>46198</v>
      </c>
      <c r="N53" t="s">
        <v>178</v>
      </c>
      <c r="O53" t="s">
        <v>179</v>
      </c>
      <c r="P53" t="s">
        <v>162</v>
      </c>
      <c r="Q53" t="s">
        <v>177</v>
      </c>
      <c r="R53" t="s">
        <v>86</v>
      </c>
      <c r="S53" s="4">
        <v>27.32</v>
      </c>
      <c r="T53" s="4">
        <v>27.34</v>
      </c>
      <c r="V53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3" s="4" t="str">
        <f>IFERROR(IF(Table1[[#This Row],[сума з ПДВ]]/1.2=0, "", Table1[[#This Row],[сума з ПДВ]]/1.2), "")</f>
        <v/>
      </c>
    </row>
    <row r="54" spans="1:23" x14ac:dyDescent="0.45">
      <c r="A54" s="2"/>
      <c r="B54" s="2" t="s">
        <v>183</v>
      </c>
      <c r="C54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>Послуги перевезення гранульованої кормової добавки за маршрутом Кіровоградська обл м. Кропивницький-Київська обл, с. Зазим'я</v>
      </c>
      <c r="D54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>Послуги перевезення гранульованої кормової добавки за маршрутом Кіровоградська обл м. Кропивницький-Київська обл, с. Зазим'я, автомобіль BA9728EO, причіп AX4497XF, водій Гладир А. М.</v>
      </c>
      <c r="E54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4" s="4" t="str">
        <f>IF(Table1[[#This Row],[ціна за тонну з ПДВ]]/1.2=0, "", Table1[[#This Row],[ціна за тонну з ПДВ]]/1.2)</f>
        <v/>
      </c>
      <c r="I54" t="s">
        <v>186</v>
      </c>
      <c r="J54" t="s">
        <v>182</v>
      </c>
      <c r="K54">
        <v>320</v>
      </c>
      <c r="L54" s="3">
        <v>46197</v>
      </c>
      <c r="M54" s="3">
        <v>46198</v>
      </c>
      <c r="N54" t="s">
        <v>135</v>
      </c>
      <c r="O54" t="s">
        <v>92</v>
      </c>
      <c r="P54" t="s">
        <v>93</v>
      </c>
      <c r="Q54" t="s">
        <v>180</v>
      </c>
      <c r="R54" t="s">
        <v>181</v>
      </c>
      <c r="S54" s="4">
        <v>27.64</v>
      </c>
      <c r="T54" s="4">
        <v>27.64</v>
      </c>
      <c r="V54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4" s="4" t="str">
        <f>IFERROR(IF(Table1[[#This Row],[сума з ПДВ]]/1.2=0, "", Table1[[#This Row],[сума з ПДВ]]/1.2), "")</f>
        <v/>
      </c>
    </row>
    <row r="55" spans="1:23" x14ac:dyDescent="0.45">
      <c r="A55" s="2"/>
      <c r="B55" s="2"/>
      <c r="C55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/>
      </c>
      <c r="D55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/>
      </c>
      <c r="E55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5" s="4" t="str">
        <f>IF(Table1[[#This Row],[ціна за тонну з ПДВ]]/1.2=0, "", Table1[[#This Row],[ціна за тонну з ПДВ]]/1.2)</f>
        <v/>
      </c>
      <c r="L55" s="3"/>
      <c r="M55" s="3"/>
      <c r="S55" s="4"/>
      <c r="V55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5" s="4" t="str">
        <f>IFERROR(IF(Table1[[#This Row],[сума з ПДВ]]/1.2=0, "", Table1[[#This Row],[сума з ПДВ]]/1.2), "")</f>
        <v/>
      </c>
    </row>
    <row r="56" spans="1:23" x14ac:dyDescent="0.45">
      <c r="A56" s="2"/>
      <c r="B56" s="2"/>
      <c r="C56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/>
      </c>
      <c r="D56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/>
      </c>
      <c r="E56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6" s="4" t="str">
        <f>IF(Table1[[#This Row],[ціна за тонну з ПДВ]]/1.2=0, "", Table1[[#This Row],[ціна за тонну з ПДВ]]/1.2)</f>
        <v/>
      </c>
      <c r="L56" s="3"/>
      <c r="M56" s="3"/>
      <c r="S56" s="4"/>
      <c r="V56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6" s="4" t="str">
        <f>IFERROR(IF(Table1[[#This Row],[сума з ПДВ]]/1.2=0, "", Table1[[#This Row],[сума з ПДВ]]/1.2), "")</f>
        <v/>
      </c>
    </row>
    <row r="57" spans="1:23" x14ac:dyDescent="0.45">
      <c r="A57" s="2"/>
      <c r="B57" s="2"/>
      <c r="C57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/>
      </c>
      <c r="D57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/>
      </c>
      <c r="E57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7" s="4" t="str">
        <f>IF(Table1[[#This Row],[ціна за тонну з ПДВ]]/1.2=0, "", Table1[[#This Row],[ціна за тонну з ПДВ]]/1.2)</f>
        <v/>
      </c>
      <c r="L57" s="3"/>
      <c r="M57" s="3"/>
      <c r="S57" s="4"/>
      <c r="V57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7" s="4" t="str">
        <f>IFERROR(IF(Table1[[#This Row],[сума з ПДВ]]/1.2=0, "", Table1[[#This Row],[сума з ПДВ]]/1.2), "")</f>
        <v/>
      </c>
    </row>
    <row r="58" spans="1:23" x14ac:dyDescent="0.45">
      <c r="A58" s="2"/>
      <c r="B58" s="2"/>
      <c r="C58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/>
      </c>
      <c r="D58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/>
      </c>
      <c r="E58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8" s="4" t="str">
        <f>IF(Table1[[#This Row],[ціна за тонну з ПДВ]]/1.2=0, "", Table1[[#This Row],[ціна за тонну з ПДВ]]/1.2)</f>
        <v/>
      </c>
      <c r="L58" s="3"/>
      <c r="M58" s="3"/>
      <c r="S58" s="4"/>
      <c r="V58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8" s="4" t="str">
        <f>IFERROR(IF(Table1[[#This Row],[сума з ПДВ]]/1.2=0, "", Table1[[#This Row],[сума з ПДВ]]/1.2), "")</f>
        <v/>
      </c>
    </row>
    <row r="59" spans="1:23" x14ac:dyDescent="0.45">
      <c r="A59" s="2"/>
      <c r="B59" s="2"/>
      <c r="C59" t="str">
        <f>IF(
    OR(ISBLANK(Table1[[#This Row],[вантаж (родовий відмінок)]]), ISBLANK(Table1[[#This Row],[маршрут згідно товаро-транспортній накладній]])),
    "",
    "Послуги перевезення " &amp; Table1[[#This Row],[вантаж (родовий відмінок)]] &amp; " за маршрутом " &amp; Table1[[#This Row],[маршрут згідно товаро-транспортній накладній]]
)</f>
        <v/>
      </c>
      <c r="D59" t="str">
        <f>IF(
    OR(
        ISBLANK(Table1[[#This Row],[вантаж (родовий відмінок)]]),
        ISBLANK(Table1[[#This Row],[маршрут згідно товаро-транспортній накладній]]),
        ISBLANK(Table1[[#This Row],[авто]]),
        ISBLANK(Table1[[#This Row],[причіп]]),
        ISBLANK(Table1[[#This Row],[водій]])
    ),
    "",
    "Послуги перевезення " &amp; Table1[[#This Row],[вантаж (родовий відмінок)]] &amp;
    " за маршрутом " &amp; Table1[[#This Row],[маршрут згідно товаро-транспортній накладній]] &amp;
    ", автомобіль " &amp; Table1[[#This Row],[авто]] &amp;
    ", причіп " &amp; Table1[[#This Row],[причіп]] &amp;
    ", водій " &amp; Table1[[#This Row],[водій]]
)</f>
        <v/>
      </c>
      <c r="E59" s="5" t="str">
        <f>IF(SUMIFS(Table1[розвантаження вага тонни], Table1[товариство], Table1[[#This Row],[товариство]], Table1[рахунок], Table1[[#This Row],[рахунок]])=0, "", SUMIFS(Table1[розвантаження вага тонни], Table1[товариство], Table1[[#This Row],[товариство]], Table1[рахунок], Table1[[#This Row],[рахунок]]))</f>
        <v/>
      </c>
      <c r="F59" s="4" t="str">
        <f>IF(Table1[[#This Row],[ціна за тонну з ПДВ]]/1.2=0, "", Table1[[#This Row],[ціна за тонну з ПДВ]]/1.2)</f>
        <v/>
      </c>
      <c r="L59" s="3"/>
      <c r="M59" s="3"/>
      <c r="S59" s="4"/>
      <c r="V59" s="4" t="str">
        <f>IF(Table1[[#This Row],[розвантаження вага тонни]]*Table1[[#This Row],[ціна за тонну з ПДВ]]=0, "", Table1[[#This Row],[розвантаження вага тонни]]*Table1[[#This Row],[ціна за тонну з ПДВ]])</f>
        <v/>
      </c>
      <c r="W59" s="4" t="str">
        <f>IFERROR(IF(Table1[[#This Row],[сума з ПДВ]]/1.2=0, "", Table1[[#This Row],[сума з ПДВ]]/1.2), "")</f>
        <v/>
      </c>
    </row>
    <row r="60" spans="1:23" x14ac:dyDescent="0.45">
      <c r="A60" s="10"/>
      <c r="B60" s="10" t="s">
        <v>25</v>
      </c>
      <c r="E60" s="1"/>
      <c r="F60"/>
      <c r="T60">
        <f>SUBTOTAL(109, Table1[розвантаження вага тонни])</f>
        <v>1387.3999999999999</v>
      </c>
      <c r="U60"/>
      <c r="V60">
        <f>SUBTOTAL(109, Table1[сума з ПДВ])</f>
        <v>1129455.3400000001</v>
      </c>
      <c r="W60" s="4">
        <f>SUBTOTAL(109,Table1[сума без ПДВ])</f>
        <v>941212.78333333344</v>
      </c>
    </row>
    <row r="62" spans="1:23" x14ac:dyDescent="0.45">
      <c r="F62" s="13"/>
    </row>
    <row r="69" spans="19:19" x14ac:dyDescent="0.45">
      <c r="S69" t="s">
        <v>159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Дебетовий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2026-06-18T12:53:29Z</cp:lastPrinted>
  <dcterms:created xsi:type="dcterms:W3CDTF">2026-06-18T12:03:30Z</dcterms:created>
  <dcterms:modified xsi:type="dcterms:W3CDTF">2026-06-30T08:39:12Z</dcterms:modified>
</cp:coreProperties>
</file>