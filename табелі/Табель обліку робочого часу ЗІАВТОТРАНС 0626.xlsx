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37" yWindow="1688" windowWidth="21601" windowHeight="10365" tabRatio="600" firstSheet="0" activeTab="0" autoFilterDateGrouping="1"/>
  </bookViews>
  <sheets>
    <sheet xmlns:r="http://schemas.openxmlformats.org/officeDocument/2006/relationships" name="sheet_ex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harset val="204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mo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theme="1"/>
      <sz val="12"/>
    </font>
  </fonts>
  <fills count="2">
    <fill>
      <patternFill/>
    </fill>
    <fill>
      <patternFill patternType="gray125"/>
    </fill>
  </fills>
  <borders count="7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pivotButton="0" quotePrefix="0" xfId="0"/>
    <xf numFmtId="0" fontId="2" fillId="0" borderId="1" applyAlignment="1" pivotButton="0" quotePrefix="0" xfId="1">
      <alignment vertical="center" wrapText="1"/>
    </xf>
    <xf numFmtId="0" fontId="2" fillId="0" borderId="7" applyAlignment="1" pivotButton="0" quotePrefix="0" xfId="1">
      <alignment vertical="center" wrapText="1"/>
    </xf>
    <xf numFmtId="0" fontId="1" fillId="0" borderId="0" pivotButton="0" quotePrefix="0" xfId="1"/>
    <xf numFmtId="0" fontId="2" fillId="0" borderId="6" applyAlignment="1" pivotButton="0" quotePrefix="0" xfId="1">
      <alignment vertical="center" wrapText="1"/>
    </xf>
    <xf numFmtId="0" fontId="5" fillId="0" borderId="1" applyAlignment="1" pivotButton="0" quotePrefix="0" xfId="1">
      <alignment vertical="center"/>
    </xf>
    <xf numFmtId="0" fontId="2" fillId="0" borderId="1" applyAlignment="1" pivotButton="0" quotePrefix="0" xfId="1">
      <alignment wrapText="1"/>
    </xf>
    <xf numFmtId="0" fontId="2" fillId="0" borderId="41" applyAlignment="1" pivotButton="0" quotePrefix="0" xfId="1">
      <alignment vertical="center" wrapText="1"/>
    </xf>
    <xf numFmtId="0" fontId="7" fillId="0" borderId="42" applyAlignment="1" pivotButton="0" quotePrefix="0" xfId="1">
      <alignment horizontal="center" vertical="center" wrapText="1"/>
    </xf>
    <xf numFmtId="0" fontId="7" fillId="0" borderId="36" applyAlignment="1" pivotButton="0" quotePrefix="0" xfId="1">
      <alignment horizontal="center" vertical="center" wrapText="1"/>
    </xf>
    <xf numFmtId="0" fontId="7" fillId="0" borderId="41" applyAlignment="1" pivotButton="0" quotePrefix="0" xfId="1">
      <alignment horizontal="center" vertical="center" wrapText="1"/>
    </xf>
    <xf numFmtId="0" fontId="7" fillId="0" borderId="40" applyAlignment="1" pivotButton="0" quotePrefix="0" xfId="1">
      <alignment horizontal="center" vertical="center" wrapText="1"/>
    </xf>
    <xf numFmtId="0" fontId="3" fillId="0" borderId="5" applyAlignment="1" pivotButton="0" quotePrefix="0" xfId="1">
      <alignment horizontal="center" vertical="center" wrapText="1"/>
    </xf>
    <xf numFmtId="0" fontId="3" fillId="0" borderId="24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  <xf numFmtId="0" fontId="3" fillId="0" borderId="15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3" fillId="0" borderId="11" applyAlignment="1" pivotButton="0" quotePrefix="0" xfId="1">
      <alignment horizontal="center" vertical="center" wrapText="1"/>
    </xf>
    <xf numFmtId="0" fontId="2" fillId="0" borderId="1" applyAlignment="1" pivotButton="0" quotePrefix="0" xfId="1">
      <alignment vertical="top" wrapText="1"/>
    </xf>
    <xf numFmtId="0" fontId="3" fillId="0" borderId="50" applyAlignment="1" pivotButton="0" quotePrefix="0" xfId="1">
      <alignment horizontal="center" vertical="center" wrapText="1"/>
    </xf>
    <xf numFmtId="0" fontId="3" fillId="0" borderId="4" applyAlignment="1" pivotButton="0" quotePrefix="0" xfId="1">
      <alignment vertical="center" wrapText="1"/>
    </xf>
    <xf numFmtId="0" fontId="3" fillId="0" borderId="3" applyAlignment="1" pivotButton="0" quotePrefix="0" xfId="1">
      <alignment vertical="center" wrapText="1"/>
    </xf>
    <xf numFmtId="0" fontId="3" fillId="0" borderId="2" applyAlignment="1" pivotButton="0" quotePrefix="0" xfId="1">
      <alignment vertical="center" wrapText="1"/>
    </xf>
    <xf numFmtId="0" fontId="2" fillId="0" borderId="20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3" fillId="0" borderId="14" applyAlignment="1" pivotButton="0" quotePrefix="0" xfId="1">
      <alignment horizontal="center" vertical="center" wrapText="1"/>
    </xf>
    <xf numFmtId="0" fontId="3" fillId="0" borderId="13" applyAlignment="1" pivotButton="0" quotePrefix="0" xfId="1">
      <alignment horizontal="center" vertical="center" wrapText="1"/>
    </xf>
    <xf numFmtId="0" fontId="3" fillId="0" borderId="12" applyAlignment="1" pivotButton="0" quotePrefix="0" xfId="1">
      <alignment horizontal="center" vertical="center" wrapText="1"/>
    </xf>
    <xf numFmtId="0" fontId="6" fillId="0" borderId="14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top" wrapText="1"/>
    </xf>
    <xf numFmtId="0" fontId="5" fillId="0" borderId="9" applyAlignment="1" pivotButton="0" quotePrefix="0" xfId="1">
      <alignment horizontal="center" vertical="top" wrapText="1"/>
    </xf>
    <xf numFmtId="0" fontId="5" fillId="0" borderId="8" applyAlignment="1" pivotButton="0" quotePrefix="0" xfId="1">
      <alignment horizontal="center" vertical="top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16" applyAlignment="1" pivotButton="0" quotePrefix="0" xfId="1">
      <alignment horizontal="center" vertical="center" wrapText="1"/>
    </xf>
    <xf numFmtId="0" fontId="3" fillId="0" borderId="51" applyAlignment="1" pivotButton="0" quotePrefix="0" xfId="1">
      <alignment horizontal="center" vertical="center" wrapText="1"/>
    </xf>
    <xf numFmtId="0" fontId="3" fillId="0" borderId="52" applyAlignment="1" pivotButton="0" quotePrefix="0" xfId="1">
      <alignment horizontal="center" vertical="center" wrapText="1"/>
    </xf>
    <xf numFmtId="0" fontId="3" fillId="0" borderId="53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18" applyAlignment="1" pivotButton="0" quotePrefix="0" xfId="1">
      <alignment horizontal="center" vertical="center" wrapText="1"/>
    </xf>
    <xf numFmtId="0" fontId="3" fillId="0" borderId="17" applyAlignment="1" pivotButton="0" quotePrefix="0" xfId="1">
      <alignment horizontal="center" vertical="center" wrapText="1"/>
    </xf>
    <xf numFmtId="0" fontId="3" fillId="0" borderId="30" applyAlignment="1" pivotButton="0" quotePrefix="0" xfId="1">
      <alignment horizontal="center" vertical="center" wrapText="1"/>
    </xf>
    <xf numFmtId="0" fontId="3" fillId="0" borderId="26" applyAlignment="1" pivotButton="0" quotePrefix="0" xfId="1">
      <alignment horizontal="center" vertical="center" wrapText="1"/>
    </xf>
    <xf numFmtId="0" fontId="3" fillId="0" borderId="22" applyAlignment="1" pivotButton="0" quotePrefix="0" xfId="1">
      <alignment horizontal="center" vertical="center" wrapText="1"/>
    </xf>
    <xf numFmtId="0" fontId="3" fillId="0" borderId="29" applyAlignment="1" pivotButton="0" quotePrefix="0" xfId="1">
      <alignment horizontal="center" vertical="center" wrapText="1"/>
    </xf>
    <xf numFmtId="0" fontId="3" fillId="0" borderId="25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3" fillId="0" borderId="28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27" applyAlignment="1" pivotButton="0" quotePrefix="0" xfId="1">
      <alignment horizontal="center" vertical="center" wrapText="1"/>
    </xf>
    <xf numFmtId="0" fontId="3" fillId="0" borderId="23" applyAlignment="1" pivotButton="0" quotePrefix="0" xfId="1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7" fillId="0" borderId="30" applyAlignment="1" pivotButton="0" quotePrefix="0" xfId="1">
      <alignment horizontal="center" vertical="center" wrapText="1"/>
    </xf>
    <xf numFmtId="0" fontId="7" fillId="0" borderId="22" applyAlignment="1" pivotButton="0" quotePrefix="0" xfId="1">
      <alignment horizontal="center" vertical="center" wrapText="1"/>
    </xf>
    <xf numFmtId="0" fontId="7" fillId="0" borderId="33" applyAlignment="1" pivotButton="0" quotePrefix="0" xfId="1">
      <alignment horizontal="center" vertical="center" wrapText="1"/>
    </xf>
    <xf numFmtId="0" fontId="7" fillId="0" borderId="28" applyAlignment="1" pivotButton="0" quotePrefix="0" xfId="1">
      <alignment horizontal="center" vertical="center" wrapText="1"/>
    </xf>
    <xf numFmtId="0" fontId="7" fillId="0" borderId="32" applyAlignment="1" pivotButton="0" quotePrefix="0" xfId="1">
      <alignment horizontal="center" vertical="center" wrapText="1"/>
    </xf>
    <xf numFmtId="0" fontId="7" fillId="0" borderId="39" applyAlignment="1" pivotButton="0" quotePrefix="0" xfId="1">
      <alignment horizontal="center" vertical="center" wrapText="1"/>
    </xf>
    <xf numFmtId="0" fontId="7" fillId="0" borderId="38" applyAlignment="1" pivotButton="0" quotePrefix="0" xfId="1">
      <alignment horizontal="center" vertical="center" wrapText="1"/>
    </xf>
    <xf numFmtId="0" fontId="7" fillId="0" borderId="37" applyAlignment="1" pivotButton="0" quotePrefix="0" xfId="1">
      <alignment horizontal="center" vertical="center" wrapText="1"/>
    </xf>
    <xf numFmtId="0" fontId="8" fillId="0" borderId="45" applyAlignment="1" pivotButton="0" quotePrefix="0" xfId="1">
      <alignment horizontal="center" vertical="center" wrapText="1"/>
    </xf>
    <xf numFmtId="0" fontId="8" fillId="0" borderId="44" applyAlignment="1" pivotButton="0" quotePrefix="0" xfId="1">
      <alignment horizontal="center" vertical="center" wrapText="1"/>
    </xf>
    <xf numFmtId="0" fontId="8" fillId="0" borderId="43" applyAlignment="1" pivotButton="0" quotePrefix="0" xfId="1">
      <alignment horizontal="center" vertical="center" wrapText="1"/>
    </xf>
    <xf numFmtId="0" fontId="8" fillId="0" borderId="45" applyAlignment="1" pivotButton="0" quotePrefix="0" xfId="1">
      <alignment horizontal="right" vertical="center" wrapText="1"/>
    </xf>
    <xf numFmtId="0" fontId="8" fillId="0" borderId="44" applyAlignment="1" pivotButton="0" quotePrefix="0" xfId="1">
      <alignment horizontal="right" vertical="center" wrapText="1"/>
    </xf>
    <xf numFmtId="0" fontId="8" fillId="0" borderId="43" applyAlignment="1" pivotButton="0" quotePrefix="0" xfId="1">
      <alignment horizontal="right" vertical="center" wrapText="1"/>
    </xf>
    <xf numFmtId="0" fontId="8" fillId="0" borderId="45" applyAlignment="1" pivotButton="0" quotePrefix="0" xfId="1">
      <alignment vertical="center" wrapText="1"/>
    </xf>
    <xf numFmtId="0" fontId="8" fillId="0" borderId="44" applyAlignment="1" pivotButton="0" quotePrefix="0" xfId="1">
      <alignment vertical="center" wrapText="1"/>
    </xf>
    <xf numFmtId="0" fontId="8" fillId="0" borderId="43" applyAlignment="1" pivotButton="0" quotePrefix="0" xfId="1">
      <alignment vertical="center" wrapText="1"/>
    </xf>
    <xf numFmtId="0" fontId="6" fillId="0" borderId="48" applyAlignment="1" pivotButton="0" quotePrefix="0" xfId="1">
      <alignment horizontal="center" vertical="center" wrapText="1"/>
    </xf>
    <xf numFmtId="0" fontId="6" fillId="0" borderId="47" applyAlignment="1" pivotButton="0" quotePrefix="0" xfId="1">
      <alignment horizontal="center" vertical="center" wrapText="1"/>
    </xf>
    <xf numFmtId="0" fontId="6" fillId="0" borderId="46" applyAlignment="1" pivotButton="0" quotePrefix="0" xfId="1">
      <alignment horizontal="center" vertical="center" wrapText="1"/>
    </xf>
    <xf numFmtId="0" fontId="3" fillId="0" borderId="4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14" fontId="6" fillId="0" borderId="4" applyAlignment="1" pivotButton="0" quotePrefix="0" xfId="1">
      <alignment horizontal="center" vertical="center" wrapText="1"/>
    </xf>
    <xf numFmtId="14" fontId="6" fillId="0" borderId="3" applyAlignment="1" pivotButton="0" quotePrefix="0" xfId="1">
      <alignment horizontal="center" vertical="center" wrapText="1"/>
    </xf>
    <xf numFmtId="14" fontId="6" fillId="0" borderId="2" applyAlignment="1" pivotButton="0" quotePrefix="0" xfId="1">
      <alignment horizontal="center" vertical="center" wrapText="1"/>
    </xf>
    <xf numFmtId="0" fontId="7" fillId="0" borderId="29" applyAlignment="1" pivotButton="0" quotePrefix="0" xfId="1">
      <alignment horizontal="center" vertical="center" wrapText="1"/>
    </xf>
    <xf numFmtId="0" fontId="7" fillId="0" borderId="21" applyAlignment="1" pivotButton="0" quotePrefix="0" xfId="1">
      <alignment horizontal="center" vertical="center" wrapText="1"/>
    </xf>
    <xf numFmtId="0" fontId="7" fillId="0" borderId="31" applyAlignment="1" pivotButton="0" quotePrefix="0" xfId="1">
      <alignment horizontal="center" vertical="center" wrapText="1"/>
    </xf>
    <xf numFmtId="0" fontId="7" fillId="0" borderId="23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0" fillId="0" borderId="47" pivotButton="0" quotePrefix="0" xfId="0"/>
    <xf numFmtId="0" fontId="0" fillId="0" borderId="46" pivotButton="0" quotePrefix="0" xfId="0"/>
    <xf numFmtId="0" fontId="3" fillId="0" borderId="63" applyAlignment="1" pivotButton="0" quotePrefix="0" xfId="1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14" fontId="6" fillId="0" borderId="63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0" fillId="0" borderId="44" pivotButton="0" quotePrefix="0" xfId="0"/>
    <xf numFmtId="0" fontId="0" fillId="0" borderId="43" pivotButton="0" quotePrefix="0" xfId="0"/>
    <xf numFmtId="0" fontId="8" fillId="0" borderId="1" applyAlignment="1" pivotButton="0" quotePrefix="0" xfId="1">
      <alignment horizontal="right" vertical="center" wrapText="1"/>
    </xf>
    <xf numFmtId="0" fontId="8" fillId="0" borderId="1" applyAlignment="1" pivotButton="0" quotePrefix="0" xfId="1">
      <alignment vertical="center" wrapText="1"/>
    </xf>
    <xf numFmtId="0" fontId="7" fillId="0" borderId="54" applyAlignment="1" pivotButton="0" quotePrefix="0" xfId="1">
      <alignment horizontal="center" vertical="center" wrapText="1"/>
    </xf>
    <xf numFmtId="0" fontId="0" fillId="0" borderId="38" pivotButton="0" quotePrefix="0" xfId="0"/>
    <xf numFmtId="0" fontId="0" fillId="0" borderId="37" pivotButton="0" quotePrefix="0" xfId="0"/>
    <xf numFmtId="0" fontId="0" fillId="0" borderId="28" pivotButton="0" quotePrefix="0" xfId="0"/>
    <xf numFmtId="0" fontId="7" fillId="0" borderId="56" applyAlignment="1" pivotButton="0" quotePrefix="0" xfId="1">
      <alignment horizontal="center" vertical="center" wrapText="1"/>
    </xf>
    <xf numFmtId="0" fontId="7" fillId="0" borderId="57" applyAlignment="1" pivotButton="0" quotePrefix="0" xfId="1">
      <alignment horizontal="center" vertical="center" wrapText="1"/>
    </xf>
    <xf numFmtId="0" fontId="7" fillId="0" borderId="66" applyAlignment="1" pivotButton="0" quotePrefix="0" xfId="1">
      <alignment horizontal="center" vertical="center" wrapText="1"/>
    </xf>
    <xf numFmtId="0" fontId="0" fillId="0" borderId="23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32" pivotButton="0" quotePrefix="0" xfId="0"/>
    <xf numFmtId="0" fontId="3" fillId="0" borderId="54" applyAlignment="1" pivotButton="0" quotePrefix="0" xfId="1">
      <alignment horizontal="center" vertical="center" wrapText="1"/>
    </xf>
    <xf numFmtId="0" fontId="3" fillId="0" borderId="56" applyAlignment="1" pivotButton="0" quotePrefix="0" xfId="1">
      <alignment horizontal="center" vertical="center" wrapText="1"/>
    </xf>
    <xf numFmtId="0" fontId="3" fillId="0" borderId="57" applyAlignment="1" pivotButton="0" quotePrefix="0" xfId="1">
      <alignment horizontal="center" vertical="center" wrapText="1"/>
    </xf>
    <xf numFmtId="0" fontId="3" fillId="0" borderId="67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0" fontId="3" fillId="0" borderId="66" applyAlignment="1" pivotButton="0" quotePrefix="0" xfId="1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25" pivotButton="0" quotePrefix="0" xfId="0"/>
    <xf numFmtId="0" fontId="0" fillId="0" borderId="34" pivotButton="0" quotePrefix="0" xfId="0"/>
    <xf numFmtId="0" fontId="3" fillId="0" borderId="54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66" applyAlignment="1" pivotButton="0" quotePrefix="0" xfId="0">
      <alignment horizontal="center" vertical="center" wrapText="1"/>
    </xf>
    <xf numFmtId="0" fontId="3" fillId="0" borderId="69" applyAlignment="1" pivotButton="0" quotePrefix="0" xfId="1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12" pivotButton="0" quotePrefix="0" xfId="0"/>
    <xf numFmtId="0" fontId="3" fillId="0" borderId="72" applyAlignment="1" pivotButton="0" quotePrefix="0" xfId="1">
      <alignment horizontal="center" vertical="center" wrapText="1"/>
    </xf>
    <xf numFmtId="0" fontId="6" fillId="0" borderId="72" applyAlignment="1" pivotButton="0" quotePrefix="0" xfId="1">
      <alignment horizontal="center" vertical="center" wrapText="1"/>
    </xf>
    <xf numFmtId="0" fontId="5" fillId="0" borderId="73" applyAlignment="1" pivotButton="0" quotePrefix="0" xfId="1">
      <alignment horizontal="center" vertical="top" wrapText="1"/>
    </xf>
    <xf numFmtId="0" fontId="0" fillId="0" borderId="9" pivotButton="0" quotePrefix="0" xfId="0"/>
    <xf numFmtId="0" fontId="0" fillId="0" borderId="8" pivotButton="0" quotePrefix="0" xfId="0"/>
    <xf numFmtId="0" fontId="4" fillId="0" borderId="63" applyAlignment="1" pivotButton="0" quotePrefix="0" xfId="1">
      <alignment horizontal="center" vertical="center" wrapText="1"/>
    </xf>
    <xf numFmtId="0" fontId="3" fillId="0" borderId="63" applyAlignment="1" pivotButton="0" quotePrefix="0" xfId="1">
      <alignment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AA118"/>
  <sheetViews>
    <sheetView tabSelected="1" workbookViewId="0">
      <selection activeCell="F16" sqref="F16"/>
    </sheetView>
  </sheetViews>
  <sheetFormatPr baseColWidth="8" defaultRowHeight="14.25"/>
  <cols>
    <col width="9.06640625" customWidth="1" style="3" min="1" max="1"/>
    <col width="13.59765625" customWidth="1" style="3" min="2" max="2"/>
    <col width="9.06640625" customWidth="1" style="3" min="3" max="20"/>
    <col width="10.265625" bestFit="1" customWidth="1" style="3" min="21" max="22"/>
    <col width="9.06640625" customWidth="1" style="3" min="23" max="24"/>
    <col width="8.86328125" bestFit="1" customWidth="1" style="3" min="25" max="25"/>
    <col width="9.06640625" customWidth="1" style="3" min="26" max="16384"/>
  </cols>
  <sheetData>
    <row r="1" ht="14.65" customHeight="1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2" t="n"/>
      <c r="W1" s="2" t="n"/>
      <c r="X1" s="2" t="n"/>
      <c r="Y1" s="2" t="n"/>
      <c r="Z1" s="2" t="n"/>
      <c r="AA1" s="2" t="n"/>
    </row>
    <row r="2" ht="14.65" customHeight="1" thickBot="1">
      <c r="A2" s="93" t="inlineStr">
        <is>
          <t>ТОВАРИСТВО З ОБМЕЖЕНОЮ ВІДПОВІДАЛЬНІСТЮ "ЗІАВТОТРАНС", код ЄДРПОУ 42690553</t>
        </is>
      </c>
      <c r="B2" s="94" t="n"/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  <c r="L2" s="94" t="n"/>
      <c r="M2" s="94" t="n"/>
      <c r="N2" s="95" t="n"/>
      <c r="O2" s="1" t="n"/>
      <c r="P2" s="1" t="n"/>
      <c r="Q2" s="1" t="n"/>
      <c r="R2" s="1" t="n"/>
      <c r="S2" s="1" t="n"/>
      <c r="T2" s="1" t="n"/>
      <c r="U2" s="4" t="n"/>
      <c r="V2" s="96" t="inlineStr">
        <is>
          <t>Звітний період</t>
        </is>
      </c>
      <c r="W2" s="97" t="n"/>
      <c r="X2" s="97" t="n"/>
      <c r="Y2" s="97" t="n"/>
      <c r="Z2" s="97" t="n"/>
      <c r="AA2" s="98" t="n"/>
    </row>
    <row r="3" ht="14.65" customHeight="1" thickBot="1">
      <c r="A3" s="1" t="n"/>
      <c r="B3" s="1" t="n"/>
      <c r="C3" s="5" t="inlineStr">
        <is>
          <t>Найменування підприємства (установи, організації)</t>
        </is>
      </c>
      <c r="D3" s="6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4" t="n"/>
      <c r="V3" s="96" t="inlineStr">
        <is>
          <t>з</t>
        </is>
      </c>
      <c r="W3" s="97" t="n"/>
      <c r="X3" s="98" t="n"/>
      <c r="Y3" s="96" t="inlineStr">
        <is>
          <t>по</t>
        </is>
      </c>
      <c r="Z3" s="97" t="n"/>
      <c r="AA3" s="98" t="n"/>
    </row>
    <row r="4" ht="14.65" customHeight="1" thickBo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4" t="n"/>
      <c r="V4" s="99" t="inlineStr">
        <is>
          <t>01.06.2026</t>
        </is>
      </c>
      <c r="W4" s="97" t="n"/>
      <c r="X4" s="98" t="n"/>
      <c r="Y4" s="99" t="inlineStr">
        <is>
          <t>30.06.2026</t>
        </is>
      </c>
      <c r="Z4" s="97" t="n"/>
      <c r="AA4" s="98" t="n"/>
    </row>
    <row r="5" ht="15.4" customHeight="1" thickBot="1">
      <c r="A5" s="1" t="n"/>
      <c r="B5" s="1" t="n"/>
      <c r="C5" s="1" t="n"/>
      <c r="D5" s="1" t="n"/>
      <c r="E5" s="1" t="n"/>
      <c r="F5" s="1" t="n"/>
      <c r="G5" s="1" t="n"/>
      <c r="H5" s="100" t="inlineStr">
        <is>
          <t>ТАБЕЛЬ</t>
        </is>
      </c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2" t="n"/>
      <c r="U5" s="1" t="n"/>
      <c r="V5" s="1" t="n"/>
      <c r="W5" s="1" t="n"/>
      <c r="X5" s="1" t="n"/>
      <c r="Y5" s="1" t="n"/>
      <c r="Z5" s="1" t="n"/>
      <c r="AA5" s="1" t="n"/>
    </row>
    <row r="6" ht="15.4" customHeight="1" thickBot="1">
      <c r="A6" s="1" t="n"/>
      <c r="B6" s="1" t="n"/>
      <c r="C6" s="1" t="n"/>
      <c r="D6" s="1" t="n"/>
      <c r="E6" s="1" t="n"/>
      <c r="F6" s="1" t="n"/>
      <c r="G6" s="103" t="inlineStr">
        <is>
          <t>обліку використання робочого часу водіїв за</t>
        </is>
      </c>
      <c r="H6" s="101" t="n"/>
      <c r="I6" s="101" t="n"/>
      <c r="J6" s="101" t="n"/>
      <c r="K6" s="101" t="n"/>
      <c r="L6" s="101" t="n"/>
      <c r="M6" s="101" t="n"/>
      <c r="N6" s="101" t="n"/>
      <c r="O6" s="101" t="n"/>
      <c r="P6" s="102" t="n"/>
      <c r="Q6" s="104" t="inlineStr">
        <is>
          <t>червень 2026 року</t>
        </is>
      </c>
      <c r="R6" s="101" t="n"/>
      <c r="S6" s="101" t="n"/>
      <c r="T6" s="101" t="n"/>
      <c r="U6" s="102" t="n"/>
      <c r="V6" s="1" t="n"/>
      <c r="W6" s="1" t="n"/>
      <c r="X6" s="1" t="n"/>
      <c r="Y6" s="1" t="n"/>
      <c r="Z6" s="1" t="n"/>
      <c r="AA6" s="1" t="n"/>
    </row>
    <row r="7" ht="14.65" customHeight="1" thickBo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15" customHeight="1" thickBot="1" thickTop="1">
      <c r="A8" s="105" t="inlineStr">
        <is>
          <t>№ п/п</t>
        </is>
      </c>
      <c r="B8" s="105" t="inlineStr">
        <is>
          <t>ПІБ, посада</t>
        </is>
      </c>
      <c r="C8" s="105" t="inlineStr">
        <is>
          <t>Табельний номер</t>
        </is>
      </c>
      <c r="D8" s="105" t="inlineStr">
        <is>
          <t>Стать (ч/ж)</t>
        </is>
      </c>
      <c r="E8" s="105" t="inlineStr">
        <is>
          <t>Відмітки про явки та неявки за числами місяця (годин)</t>
        </is>
      </c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7" t="n"/>
      <c r="U8" s="105" t="inlineStr">
        <is>
          <t>Відпрацьовано за місяц</t>
        </is>
      </c>
      <c r="V8" s="106" t="n"/>
      <c r="W8" s="106" t="n"/>
      <c r="X8" s="106" t="n"/>
      <c r="Y8" s="106" t="n"/>
      <c r="Z8" s="107" t="n"/>
      <c r="AA8" s="105" t="inlineStr">
        <is>
          <t>Вихідних та святкових днів</t>
        </is>
      </c>
    </row>
    <row r="9" ht="15" customHeight="1" thickBot="1" thickTop="1">
      <c r="A9" s="108" t="n"/>
      <c r="B9" s="108" t="n"/>
      <c r="C9" s="108" t="n"/>
      <c r="D9" s="108" t="n"/>
      <c r="E9" s="109" t="n">
        <v>1</v>
      </c>
      <c r="F9" s="110" t="n">
        <v>2</v>
      </c>
      <c r="G9" s="110" t="n">
        <v>3</v>
      </c>
      <c r="H9" s="110" t="n">
        <v>4</v>
      </c>
      <c r="I9" s="110" t="n">
        <v>5</v>
      </c>
      <c r="J9" s="110" t="n">
        <v>6</v>
      </c>
      <c r="K9" s="110" t="n">
        <v>7</v>
      </c>
      <c r="L9" s="110" t="n">
        <v>8</v>
      </c>
      <c r="M9" s="110" t="n">
        <v>9</v>
      </c>
      <c r="N9" s="110" t="n">
        <v>10</v>
      </c>
      <c r="O9" s="110" t="n">
        <v>11</v>
      </c>
      <c r="P9" s="110" t="n">
        <v>12</v>
      </c>
      <c r="Q9" s="110" t="n">
        <v>13</v>
      </c>
      <c r="R9" s="110" t="n">
        <v>14</v>
      </c>
      <c r="S9" s="110" t="n">
        <v>15</v>
      </c>
      <c r="T9" s="111" t="inlineStr">
        <is>
          <t>X</t>
        </is>
      </c>
      <c r="U9" s="105" t="inlineStr">
        <is>
          <t>днів</t>
        </is>
      </c>
      <c r="V9" s="105" t="inlineStr">
        <is>
          <t>годин</t>
        </is>
      </c>
      <c r="W9" s="106" t="n"/>
      <c r="X9" s="106" t="n"/>
      <c r="Y9" s="106" t="n"/>
      <c r="Z9" s="107" t="n"/>
      <c r="AA9" s="108" t="n"/>
    </row>
    <row r="10" ht="15" customHeight="1" thickBot="1" thickTop="1">
      <c r="A10" s="108" t="n"/>
      <c r="B10" s="108" t="n"/>
      <c r="C10" s="108" t="n"/>
      <c r="D10" s="108" t="n"/>
      <c r="E10" s="112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4" t="n"/>
      <c r="U10" s="108" t="n"/>
      <c r="V10" s="105" t="inlineStr">
        <is>
          <t>всього</t>
        </is>
      </c>
      <c r="W10" s="105" t="inlineStr">
        <is>
          <t>з них</t>
        </is>
      </c>
      <c r="X10" s="106" t="n"/>
      <c r="Y10" s="106" t="n"/>
      <c r="Z10" s="107" t="n"/>
      <c r="AA10" s="108" t="n"/>
    </row>
    <row r="11" ht="31.15" customHeight="1" thickBot="1" thickTop="1">
      <c r="A11" s="115" t="n"/>
      <c r="B11" s="115" t="n"/>
      <c r="C11" s="115" t="n"/>
      <c r="D11" s="115" t="n"/>
      <c r="E11" s="8" t="n">
        <v>16</v>
      </c>
      <c r="F11" s="8" t="n">
        <v>17</v>
      </c>
      <c r="G11" s="8" t="n">
        <v>18</v>
      </c>
      <c r="H11" s="8" t="n">
        <v>19</v>
      </c>
      <c r="I11" s="8" t="n">
        <v>20</v>
      </c>
      <c r="J11" s="8" t="n">
        <v>21</v>
      </c>
      <c r="K11" s="8" t="n">
        <v>22</v>
      </c>
      <c r="L11" s="8" t="n">
        <v>23</v>
      </c>
      <c r="M11" s="8" t="n">
        <v>24</v>
      </c>
      <c r="N11" s="8" t="n">
        <v>25</v>
      </c>
      <c r="O11" s="8" t="n">
        <v>26</v>
      </c>
      <c r="P11" s="8" t="n">
        <v>27</v>
      </c>
      <c r="Q11" s="8" t="n">
        <v>28</v>
      </c>
      <c r="R11" s="8" t="n">
        <v>29</v>
      </c>
      <c r="S11" s="8" t="n">
        <v>30</v>
      </c>
      <c r="T11" s="9" t="inlineStr">
        <is>
          <t>X</t>
        </is>
      </c>
      <c r="U11" s="115" t="n"/>
      <c r="V11" s="115" t="n"/>
      <c r="W11" s="10" t="inlineStr">
        <is>
          <t>тимчасова непрацуздатність</t>
        </is>
      </c>
      <c r="X11" s="10" t="inlineStr">
        <is>
          <t>за свій рахунок</t>
        </is>
      </c>
      <c r="Y11" s="10" t="inlineStr">
        <is>
          <t>військовозобов</t>
        </is>
      </c>
      <c r="Z11" s="9" t="inlineStr">
        <is>
          <t>відпустка</t>
        </is>
      </c>
      <c r="AA11" s="115" t="n"/>
    </row>
    <row r="12" ht="15" customHeight="1" thickBot="1" thickTop="1">
      <c r="A12" s="11" t="n">
        <v>1</v>
      </c>
      <c r="B12" s="9" t="n">
        <v>2</v>
      </c>
      <c r="C12" s="9" t="n">
        <v>3</v>
      </c>
      <c r="D12" s="9" t="n">
        <v>4</v>
      </c>
      <c r="E12" s="105" t="n">
        <v>5</v>
      </c>
      <c r="F12" s="106" t="n"/>
      <c r="G12" s="106" t="n"/>
      <c r="H12" s="106" t="n"/>
      <c r="I12" s="106" t="n"/>
      <c r="J12" s="106" t="n"/>
      <c r="K12" s="106" t="n"/>
      <c r="L12" s="106" t="n"/>
      <c r="M12" s="106" t="n"/>
      <c r="N12" s="106" t="n"/>
      <c r="O12" s="106" t="n"/>
      <c r="P12" s="106" t="n"/>
      <c r="Q12" s="106" t="n"/>
      <c r="R12" s="106" t="n"/>
      <c r="S12" s="106" t="n"/>
      <c r="T12" s="107" t="n"/>
      <c r="U12" s="9" t="n">
        <v>6</v>
      </c>
      <c r="V12" s="105" t="n">
        <v>7</v>
      </c>
      <c r="W12" s="106" t="n"/>
      <c r="X12" s="106" t="n"/>
      <c r="Y12" s="106" t="n"/>
      <c r="Z12" s="107" t="n"/>
      <c r="AA12" s="9" t="n">
        <v>8</v>
      </c>
    </row>
    <row r="13" ht="15" customHeight="1" thickBot="1" thickTop="1">
      <c r="A13" s="116" t="n">
        <v>1</v>
      </c>
      <c r="B13" s="116" t="inlineStr">
        <is>
          <t>Карман
В.</t>
        </is>
      </c>
      <c r="C13" s="117">
        <f>INT((ROW()-13)/4)+1</f>
        <v/>
      </c>
      <c r="D13" s="118" t="inlineStr">
        <is>
          <t>ч</t>
        </is>
      </c>
      <c r="E13" s="12" t="inlineStr">
        <is>
          <t>Р</t>
        </is>
      </c>
      <c r="F13" s="12" t="inlineStr">
        <is>
          <t>Р</t>
        </is>
      </c>
      <c r="G13" s="12" t="inlineStr">
        <is>
          <t>Р</t>
        </is>
      </c>
      <c r="H13" s="12" t="inlineStr">
        <is>
          <t>Р</t>
        </is>
      </c>
      <c r="I13" s="12" t="inlineStr">
        <is>
          <t>Р</t>
        </is>
      </c>
      <c r="J13" s="12" t="inlineStr">
        <is>
          <t>ВВ</t>
        </is>
      </c>
      <c r="K13" s="12" t="inlineStr">
        <is>
          <t>ВВ</t>
        </is>
      </c>
      <c r="L13" s="12" t="inlineStr">
        <is>
          <t>Р</t>
        </is>
      </c>
      <c r="M13" s="12" t="inlineStr">
        <is>
          <t>Р</t>
        </is>
      </c>
      <c r="N13" s="12" t="inlineStr">
        <is>
          <t>Р</t>
        </is>
      </c>
      <c r="O13" s="12" t="inlineStr">
        <is>
          <t>Р</t>
        </is>
      </c>
      <c r="P13" s="12" t="inlineStr">
        <is>
          <t>Р</t>
        </is>
      </c>
      <c r="Q13" s="12" t="inlineStr">
        <is>
          <t>ВВ</t>
        </is>
      </c>
      <c r="R13" s="12" t="inlineStr">
        <is>
          <t>ВВ</t>
        </is>
      </c>
      <c r="S13" s="12" t="inlineStr">
        <is>
          <t>Р</t>
        </is>
      </c>
      <c r="T13" s="13" t="inlineStr">
        <is>
          <t>X</t>
        </is>
      </c>
      <c r="U13" s="119">
        <f>IF(COUNT(E13:T16)=0, "", COUNT(E13:T16))</f>
        <v/>
      </c>
      <c r="V13" s="120">
        <f>IF(SUM(E13:T16)=0, "",SUM(E13:T16))</f>
        <v/>
      </c>
      <c r="W13" s="118" t="n"/>
      <c r="X13" s="118" t="n"/>
      <c r="Y13" s="118" t="n"/>
      <c r="Z13" s="118">
        <f t="array" ref="Z13">IF(SUM(COUNTIF(E13:T16, {"В";"ВП";"ДД";"НА"}))=0, "", SUM(COUNTIF(E13:T16, {"В";"ВП";"ДД";"НА"})))</f>
        <v/>
      </c>
      <c r="AA13" s="121">
        <f>IF(COUNTIF(E13:T16, "ВВ")=0, "", COUNTIF(E13:T16, "ВВ"))</f>
        <v/>
      </c>
    </row>
    <row r="14" ht="14.65" customHeight="1" thickBot="1">
      <c r="A14" s="108" t="n"/>
      <c r="B14" s="108" t="n"/>
      <c r="C14" s="122" t="n"/>
      <c r="D14" s="123" t="n"/>
      <c r="E14" s="12">
        <f>IF(OR(E13="ВД", E13="Р"), 8, IF(OR(E13="X", E13="Х"), "X", ""))</f>
        <v/>
      </c>
      <c r="F14" s="12">
        <f>IF(OR(F13="ВД", F13="Р"), 8, IF(OR(F13="X", F13="Х"), "X", ""))</f>
        <v/>
      </c>
      <c r="G14" s="12">
        <f>IF(OR(G13="ВД", G13="Р"), 8, IF(OR(G13="X", G13="Х"), "X", ""))</f>
        <v/>
      </c>
      <c r="H14" s="12">
        <f>IF(OR(H13="ВД", H13="Р"), 8, IF(OR(H13="X", H13="Х"), "X", ""))</f>
        <v/>
      </c>
      <c r="I14" s="12">
        <f>IF(OR(I13="ВД", I13="Р"), 8, IF(OR(I13="X", I13="Х"), "X", ""))</f>
        <v/>
      </c>
      <c r="J14" s="12">
        <f>IF(OR(J13="ВД", J13="Р"), 8, IF(OR(J13="X", J13="Х"), "X", ""))</f>
        <v/>
      </c>
      <c r="K14" s="12">
        <f>IF(OR(K13="ВД", K13="Р"), 8, IF(OR(K13="X", K13="Х"), "X", ""))</f>
        <v/>
      </c>
      <c r="L14" s="12">
        <f>IF(OR(L13="ВД", L13="Р"), 8, IF(OR(L13="X", L13="Х"), "X", ""))</f>
        <v/>
      </c>
      <c r="M14" s="12">
        <f>IF(OR(M13="ВД", M13="Р"), 8, IF(OR(M13="X", M13="Х"), "X", ""))</f>
        <v/>
      </c>
      <c r="N14" s="12">
        <f>IF(OR(N13="ВД", N13="Р"), 8, IF(OR(N13="X", N13="Х"), "X", ""))</f>
        <v/>
      </c>
      <c r="O14" s="12">
        <f>IF(OR(O13="ВД", O13="Р"), 8, IF(OR(O13="X", O13="Х"), "X", ""))</f>
        <v/>
      </c>
      <c r="P14" s="12">
        <f>IF(OR(P13="ВД", P13="Р"), 8, IF(OR(P13="X", P13="Х"), "X", ""))</f>
        <v/>
      </c>
      <c r="Q14" s="12">
        <f>IF(OR(Q13="ВД", Q13="Р"), 8, IF(OR(Q13="X", Q13="Х"), "X", ""))</f>
        <v/>
      </c>
      <c r="R14" s="12">
        <f>IF(OR(R13="ВД", R13="Р"), 8, IF(OR(R13="X", R13="Х"), "X", ""))</f>
        <v/>
      </c>
      <c r="S14" s="12">
        <f>IF(OR(S13="ВД", S13="Р"), 8, IF(OR(S13="X", S13="Х"), "X", ""))</f>
        <v/>
      </c>
      <c r="T14" s="12">
        <f>IF(OR(T13="ВД", T13="Р"), 8, IF(OR(T13="X", T13="Х"), "X", ""))</f>
        <v/>
      </c>
      <c r="U14" s="124" t="n"/>
      <c r="V14" s="123" t="n"/>
      <c r="W14" s="123" t="n"/>
      <c r="X14" s="123" t="n"/>
      <c r="Y14" s="123" t="n"/>
      <c r="Z14" s="123" t="n"/>
      <c r="AA14" s="125" t="n"/>
    </row>
    <row r="15" ht="14.65" customHeight="1" thickBot="1">
      <c r="A15" s="108" t="n"/>
      <c r="B15" s="108" t="n"/>
      <c r="C15" s="122" t="n"/>
      <c r="D15" s="123" t="n"/>
      <c r="E15" s="12" t="inlineStr">
        <is>
          <t>Р</t>
        </is>
      </c>
      <c r="F15" s="12" t="inlineStr">
        <is>
          <t>Р</t>
        </is>
      </c>
      <c r="G15" s="12" t="inlineStr">
        <is>
          <t>Р</t>
        </is>
      </c>
      <c r="H15" s="12" t="inlineStr">
        <is>
          <t>Р</t>
        </is>
      </c>
      <c r="I15" s="12" t="inlineStr">
        <is>
          <t>ВВ</t>
        </is>
      </c>
      <c r="J15" s="12" t="inlineStr">
        <is>
          <t>ВВ</t>
        </is>
      </c>
      <c r="K15" s="12" t="inlineStr">
        <is>
          <t>Р</t>
        </is>
      </c>
      <c r="L15" s="12" t="inlineStr">
        <is>
          <t>Р</t>
        </is>
      </c>
      <c r="M15" s="12" t="inlineStr">
        <is>
          <t>ВД</t>
        </is>
      </c>
      <c r="N15" s="12" t="inlineStr">
        <is>
          <t>ВД</t>
        </is>
      </c>
      <c r="O15" s="12" t="inlineStr">
        <is>
          <t>Р</t>
        </is>
      </c>
      <c r="P15" s="12" t="inlineStr">
        <is>
          <t>ВВ</t>
        </is>
      </c>
      <c r="Q15" s="12" t="inlineStr">
        <is>
          <t>ВВ</t>
        </is>
      </c>
      <c r="R15" s="12" t="inlineStr">
        <is>
          <t>Р</t>
        </is>
      </c>
      <c r="S15" s="12" t="inlineStr">
        <is>
          <t>Р</t>
        </is>
      </c>
      <c r="T15" s="13" t="inlineStr">
        <is>
          <t>X</t>
        </is>
      </c>
      <c r="U15" s="124" t="n"/>
      <c r="V15" s="123" t="n"/>
      <c r="W15" s="123" t="n"/>
      <c r="X15" s="123" t="n"/>
      <c r="Y15" s="123" t="n"/>
      <c r="Z15" s="123" t="n"/>
      <c r="AA15" s="125" t="n"/>
    </row>
    <row r="16" ht="14.65" customHeight="1" thickBot="1">
      <c r="A16" s="115" t="n"/>
      <c r="B16" s="115" t="n"/>
      <c r="C16" s="112" t="n"/>
      <c r="D16" s="113" t="n"/>
      <c r="E16" s="12">
        <f>IF(OR(E15="ВД", E15="Р"), 8, IF(OR(E15="X", E15="Х"), "X", ""))</f>
        <v/>
      </c>
      <c r="F16" s="12">
        <f>IF(OR(F15="ВД", F15="Р"), 8, IF(OR(F15="X", F15="Х"), "X", ""))</f>
        <v/>
      </c>
      <c r="G16" s="12">
        <f>IF(OR(G15="ВД", G15="Р"), 8, IF(OR(G15="X", G15="Х"), "X", ""))</f>
        <v/>
      </c>
      <c r="H16" s="12">
        <f>IF(OR(H15="ВД", H15="Р"), 8, IF(OR(H15="X", H15="Х"), "X", ""))</f>
        <v/>
      </c>
      <c r="I16" s="12">
        <f>IF(OR(I15="ВД", I15="Р"), 8, IF(OR(I15="X", I15="Х"), "X", ""))</f>
        <v/>
      </c>
      <c r="J16" s="12">
        <f>IF(OR(J15="ВД", J15="Р"), 8, IF(OR(J15="X", J15="Х"), "X", ""))</f>
        <v/>
      </c>
      <c r="K16" s="12">
        <f>IF(OR(K15="ВД", K15="Р"), 8, IF(OR(K15="X", K15="Х"), "X", ""))</f>
        <v/>
      </c>
      <c r="L16" s="12">
        <f>IF(OR(L15="ВД", L15="Р"), 8, IF(OR(L15="X", L15="Х"), "X", ""))</f>
        <v/>
      </c>
      <c r="M16" s="12">
        <f>IF(OR(M15="ВД", M15="Р"), 8, IF(OR(M15="X", M15="Х"), "X", ""))</f>
        <v/>
      </c>
      <c r="N16" s="12">
        <f>IF(OR(N15="ВД", N15="Р"), 8, IF(OR(N15="X", N15="Х"), "X", ""))</f>
        <v/>
      </c>
      <c r="O16" s="12">
        <f>IF(OR(O15="ВД", O15="Р"), 8, IF(OR(O15="X", O15="Х"), "X", ""))</f>
        <v/>
      </c>
      <c r="P16" s="12">
        <f>IF(OR(P15="ВД", P15="Р"), 8, IF(OR(P15="X", P15="Х"), "X", ""))</f>
        <v/>
      </c>
      <c r="Q16" s="12">
        <f>IF(OR(Q15="ВД", Q15="Р"), 8, IF(OR(Q15="X", Q15="Х"), "X", ""))</f>
        <v/>
      </c>
      <c r="R16" s="12">
        <f>IF(OR(R15="ВД", R15="Р"), 8, IF(OR(R15="X", R15="Х"), "X", ""))</f>
        <v/>
      </c>
      <c r="S16" s="12">
        <f>IF(OR(S15="ВД", S15="Р"), 8, IF(OR(S15="X", S15="Х"), "X", ""))</f>
        <v/>
      </c>
      <c r="T16" s="12">
        <f>IF(OR(T15="ВД", T15="Р"), 8, IF(OR(T15="X", T15="Х"), "X", ""))</f>
        <v/>
      </c>
      <c r="U16" s="126" t="n"/>
      <c r="V16" s="113" t="n"/>
      <c r="W16" s="113" t="n"/>
      <c r="X16" s="113" t="n"/>
      <c r="Y16" s="113" t="n"/>
      <c r="Z16" s="113" t="n"/>
      <c r="AA16" s="114" t="n"/>
    </row>
    <row r="17" ht="15" customHeight="1" thickBot="1" thickTop="1">
      <c r="A17" s="116" t="n">
        <v>2</v>
      </c>
      <c r="B17" s="117" t="inlineStr">
        <is>
          <t>Бабак
Р.</t>
        </is>
      </c>
      <c r="C17" s="54">
        <f>INT((ROW()-13)/4)+1</f>
        <v/>
      </c>
      <c r="D17" s="45" t="inlineStr">
        <is>
          <t>ч</t>
        </is>
      </c>
      <c r="E17" s="12" t="inlineStr">
        <is>
          <t>Р</t>
        </is>
      </c>
      <c r="F17" s="12" t="inlineStr">
        <is>
          <t>Р</t>
        </is>
      </c>
      <c r="G17" s="12" t="inlineStr">
        <is>
          <t>Р</t>
        </is>
      </c>
      <c r="H17" s="12" t="inlineStr">
        <is>
          <t>Р</t>
        </is>
      </c>
      <c r="I17" s="12" t="inlineStr">
        <is>
          <t>Р</t>
        </is>
      </c>
      <c r="J17" s="12" t="inlineStr">
        <is>
          <t>ВВ</t>
        </is>
      </c>
      <c r="K17" s="12" t="inlineStr">
        <is>
          <t>ВВ</t>
        </is>
      </c>
      <c r="L17" s="12" t="inlineStr">
        <is>
          <t>Р</t>
        </is>
      </c>
      <c r="M17" s="12" t="inlineStr">
        <is>
          <t>Р</t>
        </is>
      </c>
      <c r="N17" s="12" t="inlineStr">
        <is>
          <t>Р</t>
        </is>
      </c>
      <c r="O17" s="12" t="inlineStr">
        <is>
          <t>Р</t>
        </is>
      </c>
      <c r="P17" s="12" t="inlineStr">
        <is>
          <t>Р</t>
        </is>
      </c>
      <c r="Q17" s="12" t="inlineStr">
        <is>
          <t>ВВ</t>
        </is>
      </c>
      <c r="R17" s="12" t="inlineStr">
        <is>
          <t>ВВ</t>
        </is>
      </c>
      <c r="S17" s="12" t="inlineStr">
        <is>
          <t>Р</t>
        </is>
      </c>
      <c r="T17" s="13" t="inlineStr">
        <is>
          <t>X</t>
        </is>
      </c>
      <c r="U17" s="119">
        <f>IF(COUNT(E17:T20)=0, "", COUNT(E17:T20))</f>
        <v/>
      </c>
      <c r="V17" s="120">
        <f>IF(SUM(E17:T20)=0, "",SUM(E17:T20))</f>
        <v/>
      </c>
      <c r="W17" s="118" t="n"/>
      <c r="X17" s="118" t="n"/>
      <c r="Y17" s="118" t="n"/>
      <c r="Z17" s="118">
        <f t="array" ref="Z17">IF(SUM(COUNTIF(E17:T20, {"В";"ВП";"ДД";"НА"}))=0, "", SUM(COUNTIF(E17:T20, {"В";"ВП";"ДД";"НА"})))</f>
        <v/>
      </c>
      <c r="AA17" s="121">
        <f>IF(COUNTIF(E17:T20, "ВВ")=0, "", COUNTIF(E17:T20, "ВВ"))</f>
        <v/>
      </c>
    </row>
    <row r="18" ht="14.65" customHeight="1" thickBot="1">
      <c r="A18" s="108" t="n"/>
      <c r="B18" s="122" t="n"/>
      <c r="C18" s="122" t="n"/>
      <c r="D18" s="123" t="n"/>
      <c r="E18" s="12">
        <f>IF(OR(E17="ВД", E17="Р"), 8, IF(OR(E17="X", E17="Х"), "X", ""))</f>
        <v/>
      </c>
      <c r="F18" s="12">
        <f>IF(OR(F17="ВД", F17="Р"), 8, IF(OR(F17="X", F17="Х"), "X", ""))</f>
        <v/>
      </c>
      <c r="G18" s="12">
        <f>IF(OR(G17="ВД", G17="Р"), 8, IF(OR(G17="X", G17="Х"), "X", ""))</f>
        <v/>
      </c>
      <c r="H18" s="12">
        <f>IF(OR(H17="ВД", H17="Р"), 8, IF(OR(H17="X", H17="Х"), "X", ""))</f>
        <v/>
      </c>
      <c r="I18" s="12">
        <f>IF(OR(I17="ВД", I17="Р"), 8, IF(OR(I17="X", I17="Х"), "X", ""))</f>
        <v/>
      </c>
      <c r="J18" s="12">
        <f>IF(OR(J17="ВД", J17="Р"), 8, IF(OR(J17="X", J17="Х"), "X", ""))</f>
        <v/>
      </c>
      <c r="K18" s="12">
        <f>IF(OR(K17="ВД", K17="Р"), 8, IF(OR(K17="X", K17="Х"), "X", ""))</f>
        <v/>
      </c>
      <c r="L18" s="12">
        <f>IF(OR(L17="ВД", L17="Р"), 8, IF(OR(L17="X", L17="Х"), "X", ""))</f>
        <v/>
      </c>
      <c r="M18" s="12">
        <f>IF(OR(M17="ВД", M17="Р"), 8, IF(OR(M17="X", M17="Х"), "X", ""))</f>
        <v/>
      </c>
      <c r="N18" s="12">
        <f>IF(OR(N17="ВД", N17="Р"), 8, IF(OR(N17="X", N17="Х"), "X", ""))</f>
        <v/>
      </c>
      <c r="O18" s="12">
        <f>IF(OR(O17="ВД", O17="Р"), 8, IF(OR(O17="X", O17="Х"), "X", ""))</f>
        <v/>
      </c>
      <c r="P18" s="12">
        <f>IF(OR(P17="ВД", P17="Р"), 8, IF(OR(P17="X", P17="Х"), "X", ""))</f>
        <v/>
      </c>
      <c r="Q18" s="12">
        <f>IF(OR(Q17="ВД", Q17="Р"), 8, IF(OR(Q17="X", Q17="Х"), "X", ""))</f>
        <v/>
      </c>
      <c r="R18" s="12">
        <f>IF(OR(R17="ВД", R17="Р"), 8, IF(OR(R17="X", R17="Х"), "X", ""))</f>
        <v/>
      </c>
      <c r="S18" s="12">
        <f>IF(OR(S17="ВД", S17="Р"), 8, IF(OR(S17="X", S17="Х"), "X", ""))</f>
        <v/>
      </c>
      <c r="T18" s="12">
        <f>IF(OR(T17="ВД", T17="Р"), 8, IF(OR(T17="X", T17="Х"), "X", ""))</f>
        <v/>
      </c>
      <c r="U18" s="124" t="n"/>
      <c r="V18" s="123" t="n"/>
      <c r="W18" s="123" t="n"/>
      <c r="X18" s="123" t="n"/>
      <c r="Y18" s="123" t="n"/>
      <c r="Z18" s="123" t="n"/>
      <c r="AA18" s="125" t="n"/>
    </row>
    <row r="19" ht="14.65" customHeight="1" thickBot="1">
      <c r="A19" s="108" t="n"/>
      <c r="B19" s="122" t="n"/>
      <c r="C19" s="122" t="n"/>
      <c r="D19" s="123" t="n"/>
      <c r="E19" s="12" t="inlineStr">
        <is>
          <t>Р</t>
        </is>
      </c>
      <c r="F19" s="12" t="inlineStr">
        <is>
          <t>Р</t>
        </is>
      </c>
      <c r="G19" s="12" t="inlineStr">
        <is>
          <t>ВД</t>
        </is>
      </c>
      <c r="H19" s="12" t="inlineStr">
        <is>
          <t>ВД</t>
        </is>
      </c>
      <c r="I19" s="12" t="inlineStr">
        <is>
          <t>ВВ</t>
        </is>
      </c>
      <c r="J19" s="12" t="inlineStr">
        <is>
          <t>ВВ</t>
        </is>
      </c>
      <c r="K19" s="12" t="inlineStr">
        <is>
          <t>ВД</t>
        </is>
      </c>
      <c r="L19" s="12" t="inlineStr">
        <is>
          <t>ВД</t>
        </is>
      </c>
      <c r="M19" s="12" t="inlineStr">
        <is>
          <t>ВД</t>
        </is>
      </c>
      <c r="N19" s="12" t="inlineStr">
        <is>
          <t>ВД</t>
        </is>
      </c>
      <c r="O19" s="12" t="inlineStr">
        <is>
          <t>Р</t>
        </is>
      </c>
      <c r="P19" s="12" t="inlineStr">
        <is>
          <t>ВВ</t>
        </is>
      </c>
      <c r="Q19" s="12" t="inlineStr">
        <is>
          <t>ВВ</t>
        </is>
      </c>
      <c r="R19" s="12" t="inlineStr">
        <is>
          <t>Р</t>
        </is>
      </c>
      <c r="S19" s="12" t="inlineStr">
        <is>
          <t>Р</t>
        </is>
      </c>
      <c r="T19" s="13" t="inlineStr">
        <is>
          <t>X</t>
        </is>
      </c>
      <c r="U19" s="124" t="n"/>
      <c r="V19" s="123" t="n"/>
      <c r="W19" s="123" t="n"/>
      <c r="X19" s="123" t="n"/>
      <c r="Y19" s="123" t="n"/>
      <c r="Z19" s="123" t="n"/>
      <c r="AA19" s="125" t="n"/>
    </row>
    <row r="20" ht="14.65" customHeight="1" thickBot="1">
      <c r="A20" s="115" t="n"/>
      <c r="B20" s="112" t="n"/>
      <c r="C20" s="122" t="n"/>
      <c r="D20" s="123" t="n"/>
      <c r="E20" s="19">
        <f>IF(OR(E19="ВД", E19="Р"), 8, IF(OR(E19="X", E19="Х"), "X", ""))</f>
        <v/>
      </c>
      <c r="F20" s="19">
        <f>IF(OR(F19="ВД", F19="Р"), 8, IF(OR(F19="X", F19="Х"), "X", ""))</f>
        <v/>
      </c>
      <c r="G20" s="19">
        <f>IF(OR(G19="ВД", G19="Р"), 8, IF(OR(G19="X", G19="Х"), "X", ""))</f>
        <v/>
      </c>
      <c r="H20" s="19">
        <f>IF(OR(H19="ВД", H19="Р"), 8, IF(OR(H19="X", H19="Х"), "X", ""))</f>
        <v/>
      </c>
      <c r="I20" s="19">
        <f>IF(OR(I19="ВД", I19="Р"), 8, IF(OR(I19="X", I19="Х"), "X", ""))</f>
        <v/>
      </c>
      <c r="J20" s="19">
        <f>IF(OR(J19="ВД", J19="Р"), 8, IF(OR(J19="X", J19="Х"), "X", ""))</f>
        <v/>
      </c>
      <c r="K20" s="19">
        <f>IF(OR(K19="ВД", K19="Р"), 8, IF(OR(K19="X", K19="Х"), "X", ""))</f>
        <v/>
      </c>
      <c r="L20" s="19">
        <f>IF(OR(L19="ВД", L19="Р"), 8, IF(OR(L19="X", L19="Х"), "X", ""))</f>
        <v/>
      </c>
      <c r="M20" s="19">
        <f>IF(OR(M19="ВД", M19="Р"), 8, IF(OR(M19="X", M19="Х"), "X", ""))</f>
        <v/>
      </c>
      <c r="N20" s="19">
        <f>IF(OR(N19="ВД", N19="Р"), 8, IF(OR(N19="X", N19="Х"), "X", ""))</f>
        <v/>
      </c>
      <c r="O20" s="19">
        <f>IF(OR(O19="ВД", O19="Р"), 8, IF(OR(O19="X", O19="Х"), "X", ""))</f>
        <v/>
      </c>
      <c r="P20" s="19">
        <f>IF(OR(P19="ВД", P19="Р"), 8, IF(OR(P19="X", P19="Х"), "X", ""))</f>
        <v/>
      </c>
      <c r="Q20" s="19">
        <f>IF(OR(Q19="ВД", Q19="Р"), 8, IF(OR(Q19="X", Q19="Х"), "X", ""))</f>
        <v/>
      </c>
      <c r="R20" s="19">
        <f>IF(OR(R19="ВД", R19="Р"), 8, IF(OR(R19="X", R19="Х"), "X", ""))</f>
        <v/>
      </c>
      <c r="S20" s="19">
        <f>IF(OR(S19="ВД", S19="Р"), 8, IF(OR(S19="X", S19="Х"), "X", ""))</f>
        <v/>
      </c>
      <c r="T20" s="19">
        <f>IF(OR(T19="ВД", T19="Р"), 8, IF(OR(T19="X", T19="Х"), "X", ""))</f>
        <v/>
      </c>
      <c r="U20" s="126" t="n"/>
      <c r="V20" s="113" t="n"/>
      <c r="W20" s="113" t="n"/>
      <c r="X20" s="113" t="n"/>
      <c r="Y20" s="113" t="n"/>
      <c r="Z20" s="113" t="n"/>
      <c r="AA20" s="114" t="n"/>
    </row>
    <row r="21" ht="14.65" customHeight="1" thickTop="1">
      <c r="A21" s="127" t="n">
        <v>1</v>
      </c>
      <c r="B21" s="127" t="inlineStr">
        <is>
          <t>Боіштян
О.</t>
        </is>
      </c>
      <c r="C21" s="128">
        <f>INT((ROW()-13)/4)+1</f>
        <v/>
      </c>
      <c r="D21" s="120" t="inlineStr">
        <is>
          <t>ч</t>
        </is>
      </c>
      <c r="E21" s="129" t="inlineStr">
        <is>
          <t>Р</t>
        </is>
      </c>
      <c r="F21" s="129" t="inlineStr">
        <is>
          <t>Р</t>
        </is>
      </c>
      <c r="G21" s="129" t="inlineStr">
        <is>
          <t>Р</t>
        </is>
      </c>
      <c r="H21" s="129" t="inlineStr">
        <is>
          <t>Р</t>
        </is>
      </c>
      <c r="I21" s="129" t="inlineStr">
        <is>
          <t>Р</t>
        </is>
      </c>
      <c r="J21" s="129" t="inlineStr">
        <is>
          <t>ВВ</t>
        </is>
      </c>
      <c r="K21" s="129" t="inlineStr">
        <is>
          <t>ВВ</t>
        </is>
      </c>
      <c r="L21" s="129" t="inlineStr">
        <is>
          <t>Р</t>
        </is>
      </c>
      <c r="M21" s="129" t="inlineStr">
        <is>
          <t>Р</t>
        </is>
      </c>
      <c r="N21" s="129" t="inlineStr">
        <is>
          <t>Р</t>
        </is>
      </c>
      <c r="O21" s="129" t="inlineStr">
        <is>
          <t>Р</t>
        </is>
      </c>
      <c r="P21" s="129" t="inlineStr">
        <is>
          <t>Р</t>
        </is>
      </c>
      <c r="Q21" s="129" t="inlineStr">
        <is>
          <t>ВВ</t>
        </is>
      </c>
      <c r="R21" s="129" t="inlineStr">
        <is>
          <t>ВВ</t>
        </is>
      </c>
      <c r="S21" s="129" t="inlineStr">
        <is>
          <t>Р</t>
        </is>
      </c>
      <c r="T21" s="130" t="inlineStr">
        <is>
          <t>X</t>
        </is>
      </c>
      <c r="U21" s="119">
        <f>IF(COUNT(E21:T24)=0, "", COUNT(E21:T24))</f>
        <v/>
      </c>
      <c r="V21" s="120">
        <f>IF(SUM(E21:T24)=0, "",SUM(E21:T24))</f>
        <v/>
      </c>
      <c r="W21" s="120" t="n"/>
      <c r="X21" s="120" t="n"/>
      <c r="Y21" s="120" t="n"/>
      <c r="Z21" s="120">
        <f t="array" ref="Z21">IF(SUM(COUNTIF(E21:T24, {"В";"ВП";"ДД";"НА"}))=0, "", SUM(COUNTIF(E21:T24, {"В";"ВП";"ДД";"НА"})))</f>
        <v/>
      </c>
      <c r="AA21" s="131">
        <f>IF(COUNTIF(E21:T24, "ВВ")=0, "", COUNTIF(E21:T24, "ВВ"))</f>
        <v/>
      </c>
    </row>
    <row r="22" ht="14.65" customHeight="1" thickBot="1">
      <c r="A22" s="108" t="n"/>
      <c r="B22" s="108" t="n"/>
      <c r="C22" s="122" t="n"/>
      <c r="D22" s="123" t="n"/>
      <c r="E22" s="129">
        <f>IF(OR(E21="ВД", E21="Р"), 8, IF(OR(E21="X", E21="Х"), "X", ""))</f>
        <v/>
      </c>
      <c r="F22" s="129">
        <f>IF(OR(F21="ВД", F21="Р"), 8, IF(OR(F21="X", F21="Х"), "X", ""))</f>
        <v/>
      </c>
      <c r="G22" s="129">
        <f>IF(OR(G21="ВД", G21="Р"), 8, IF(OR(G21="X", G21="Х"), "X", ""))</f>
        <v/>
      </c>
      <c r="H22" s="129">
        <f>IF(OR(H21="ВД", H21="Р"), 8, IF(OR(H21="X", H21="Х"), "X", ""))</f>
        <v/>
      </c>
      <c r="I22" s="129">
        <f>IF(OR(I21="ВД", I21="Р"), 8, IF(OR(I21="X", I21="Х"), "X", ""))</f>
        <v/>
      </c>
      <c r="J22" s="129">
        <f>IF(OR(J21="ВД", J21="Р"), 8, IF(OR(J21="X", J21="Х"), "X", ""))</f>
        <v/>
      </c>
      <c r="K22" s="129">
        <f>IF(OR(K21="ВД", K21="Р"), 8, IF(OR(K21="X", K21="Х"), "X", ""))</f>
        <v/>
      </c>
      <c r="L22" s="129">
        <f>IF(OR(L21="ВД", L21="Р"), 8, IF(OR(L21="X", L21="Х"), "X", ""))</f>
        <v/>
      </c>
      <c r="M22" s="129">
        <f>IF(OR(M21="ВД", M21="Р"), 8, IF(OR(M21="X", M21="Х"), "X", ""))</f>
        <v/>
      </c>
      <c r="N22" s="129">
        <f>IF(OR(N21="ВД", N21="Р"), 8, IF(OR(N21="X", N21="Х"), "X", ""))</f>
        <v/>
      </c>
      <c r="O22" s="129">
        <f>IF(OR(O21="ВД", O21="Р"), 8, IF(OR(O21="X", O21="Х"), "X", ""))</f>
        <v/>
      </c>
      <c r="P22" s="129">
        <f>IF(OR(P21="ВД", P21="Р"), 8, IF(OR(P21="X", P21="Х"), "X", ""))</f>
        <v/>
      </c>
      <c r="Q22" s="129">
        <f>IF(OR(Q21="ВД", Q21="Р"), 8, IF(OR(Q21="X", Q21="Х"), "X", ""))</f>
        <v/>
      </c>
      <c r="R22" s="129">
        <f>IF(OR(R21="ВД", R21="Р"), 8, IF(OR(R21="X", R21="Х"), "X", ""))</f>
        <v/>
      </c>
      <c r="S22" s="129">
        <f>IF(OR(S21="ВД", S21="Р"), 8, IF(OR(S21="X", S21="Х"), "X", ""))</f>
        <v/>
      </c>
      <c r="T22" s="129">
        <f>IF(OR(T21="ВД", T21="Р"), 8, IF(OR(T21="X", T21="Х"), "X", ""))</f>
        <v/>
      </c>
      <c r="U22" s="124" t="n"/>
      <c r="V22" s="123" t="n"/>
      <c r="W22" s="123" t="n"/>
      <c r="X22" s="123" t="n"/>
      <c r="Y22" s="123" t="n"/>
      <c r="Z22" s="123" t="n"/>
      <c r="AA22" s="125" t="n"/>
    </row>
    <row r="23" ht="14.65" customHeight="1" thickBot="1">
      <c r="A23" s="108" t="n"/>
      <c r="B23" s="108" t="n"/>
      <c r="C23" s="122" t="n"/>
      <c r="D23" s="123" t="n"/>
      <c r="E23" s="129" t="inlineStr">
        <is>
          <t>ВД</t>
        </is>
      </c>
      <c r="F23" s="129" t="inlineStr">
        <is>
          <t>ВД</t>
        </is>
      </c>
      <c r="G23" s="129" t="inlineStr">
        <is>
          <t>Р</t>
        </is>
      </c>
      <c r="H23" s="129" t="inlineStr">
        <is>
          <t>Р</t>
        </is>
      </c>
      <c r="I23" s="129" t="inlineStr">
        <is>
          <t>ВВ</t>
        </is>
      </c>
      <c r="J23" s="129" t="inlineStr">
        <is>
          <t>ВВ</t>
        </is>
      </c>
      <c r="K23" s="129" t="inlineStr">
        <is>
          <t>Р</t>
        </is>
      </c>
      <c r="L23" s="129" t="inlineStr">
        <is>
          <t>Р</t>
        </is>
      </c>
      <c r="M23" s="129" t="inlineStr">
        <is>
          <t>Р</t>
        </is>
      </c>
      <c r="N23" s="129" t="inlineStr">
        <is>
          <t>Р</t>
        </is>
      </c>
      <c r="O23" s="129" t="inlineStr">
        <is>
          <t>Р</t>
        </is>
      </c>
      <c r="P23" s="129" t="inlineStr">
        <is>
          <t>ВВ</t>
        </is>
      </c>
      <c r="Q23" s="129" t="inlineStr">
        <is>
          <t>ВВ</t>
        </is>
      </c>
      <c r="R23" s="129" t="inlineStr">
        <is>
          <t>Р</t>
        </is>
      </c>
      <c r="S23" s="129" t="inlineStr">
        <is>
          <t>Р</t>
        </is>
      </c>
      <c r="T23" s="130" t="inlineStr">
        <is>
          <t>X</t>
        </is>
      </c>
      <c r="U23" s="124" t="n"/>
      <c r="V23" s="123" t="n"/>
      <c r="W23" s="123" t="n"/>
      <c r="X23" s="123" t="n"/>
      <c r="Y23" s="123" t="n"/>
      <c r="Z23" s="123" t="n"/>
      <c r="AA23" s="125" t="n"/>
    </row>
    <row r="24" ht="14.65" customHeight="1" thickBot="1">
      <c r="A24" s="115" t="n"/>
      <c r="B24" s="115" t="n"/>
      <c r="C24" s="112" t="n"/>
      <c r="D24" s="113" t="n"/>
      <c r="E24" s="129">
        <f>IF(OR(E23="ВД", E23="Р"), 8, IF(OR(E23="X", E23="Х"), "X", ""))</f>
        <v/>
      </c>
      <c r="F24" s="129">
        <f>IF(OR(F23="ВД", F23="Р"), 8, IF(OR(F23="X", F23="Х"), "X", ""))</f>
        <v/>
      </c>
      <c r="G24" s="129">
        <f>IF(OR(G23="ВД", G23="Р"), 8, IF(OR(G23="X", G23="Х"), "X", ""))</f>
        <v/>
      </c>
      <c r="H24" s="129">
        <f>IF(OR(H23="ВД", H23="Р"), 8, IF(OR(H23="X", H23="Х"), "X", ""))</f>
        <v/>
      </c>
      <c r="I24" s="129">
        <f>IF(OR(I23="ВД", I23="Р"), 8, IF(OR(I23="X", I23="Х"), "X", ""))</f>
        <v/>
      </c>
      <c r="J24" s="129">
        <f>IF(OR(J23="ВД", J23="Р"), 8, IF(OR(J23="X", J23="Х"), "X", ""))</f>
        <v/>
      </c>
      <c r="K24" s="129">
        <f>IF(OR(K23="ВД", K23="Р"), 8, IF(OR(K23="X", K23="Х"), "X", ""))</f>
        <v/>
      </c>
      <c r="L24" s="129">
        <f>IF(OR(L23="ВД", L23="Р"), 8, IF(OR(L23="X", L23="Х"), "X", ""))</f>
        <v/>
      </c>
      <c r="M24" s="129">
        <f>IF(OR(M23="ВД", M23="Р"), 8, IF(OR(M23="X", M23="Х"), "X", ""))</f>
        <v/>
      </c>
      <c r="N24" s="129">
        <f>IF(OR(N23="ВД", N23="Р"), 8, IF(OR(N23="X", N23="Х"), "X", ""))</f>
        <v/>
      </c>
      <c r="O24" s="129">
        <f>IF(OR(O23="ВД", O23="Р"), 8, IF(OR(O23="X", O23="Х"), "X", ""))</f>
        <v/>
      </c>
      <c r="P24" s="129">
        <f>IF(OR(P23="ВД", P23="Р"), 8, IF(OR(P23="X", P23="Х"), "X", ""))</f>
        <v/>
      </c>
      <c r="Q24" s="129">
        <f>IF(OR(Q23="ВД", Q23="Р"), 8, IF(OR(Q23="X", Q23="Х"), "X", ""))</f>
        <v/>
      </c>
      <c r="R24" s="129">
        <f>IF(OR(R23="ВД", R23="Р"), 8, IF(OR(R23="X", R23="Х"), "X", ""))</f>
        <v/>
      </c>
      <c r="S24" s="129">
        <f>IF(OR(S23="ВД", S23="Р"), 8, IF(OR(S23="X", S23="Х"), "X", ""))</f>
        <v/>
      </c>
      <c r="T24" s="129">
        <f>IF(OR(T23="ВД", T23="Р"), 8, IF(OR(T23="X", T23="Х"), "X", ""))</f>
        <v/>
      </c>
      <c r="U24" s="126" t="n"/>
      <c r="V24" s="113" t="n"/>
      <c r="W24" s="113" t="n"/>
      <c r="X24" s="113" t="n"/>
      <c r="Y24" s="113" t="n"/>
      <c r="Z24" s="113" t="n"/>
      <c r="AA24" s="114" t="n"/>
    </row>
    <row r="25" ht="14.65" customHeight="1" thickBot="1">
      <c r="A25" s="127" t="n">
        <v>1</v>
      </c>
      <c r="B25" s="127" t="inlineStr">
        <is>
          <t>Гаморя
О.</t>
        </is>
      </c>
      <c r="C25" s="128">
        <f>INT((ROW()-13)/4)+1</f>
        <v/>
      </c>
      <c r="D25" s="120" t="inlineStr">
        <is>
          <t>ч</t>
        </is>
      </c>
      <c r="E25" s="129" t="inlineStr">
        <is>
          <t>Р</t>
        </is>
      </c>
      <c r="F25" s="129" t="inlineStr">
        <is>
          <t>Р</t>
        </is>
      </c>
      <c r="G25" s="129" t="inlineStr">
        <is>
          <t>Р</t>
        </is>
      </c>
      <c r="H25" s="129" t="inlineStr">
        <is>
          <t>Р</t>
        </is>
      </c>
      <c r="I25" s="129" t="inlineStr">
        <is>
          <t>Р</t>
        </is>
      </c>
      <c r="J25" s="129" t="inlineStr">
        <is>
          <t>ВВ</t>
        </is>
      </c>
      <c r="K25" s="129" t="inlineStr">
        <is>
          <t>ВВ</t>
        </is>
      </c>
      <c r="L25" s="129" t="inlineStr">
        <is>
          <t>Р</t>
        </is>
      </c>
      <c r="M25" s="129" t="inlineStr">
        <is>
          <t>Р</t>
        </is>
      </c>
      <c r="N25" s="129" t="inlineStr">
        <is>
          <t>Р</t>
        </is>
      </c>
      <c r="O25" s="129" t="inlineStr">
        <is>
          <t>Р</t>
        </is>
      </c>
      <c r="P25" s="129" t="inlineStr">
        <is>
          <t>Р</t>
        </is>
      </c>
      <c r="Q25" s="129" t="inlineStr">
        <is>
          <t>ВВ</t>
        </is>
      </c>
      <c r="R25" s="129" t="inlineStr">
        <is>
          <t>ВВ</t>
        </is>
      </c>
      <c r="S25" s="129" t="inlineStr">
        <is>
          <t>Р</t>
        </is>
      </c>
      <c r="T25" s="130" t="inlineStr">
        <is>
          <t>X</t>
        </is>
      </c>
      <c r="U25" s="119">
        <f>IF(COUNT(E25:T28)=0, "", COUNT(E25:T28))</f>
        <v/>
      </c>
      <c r="V25" s="120">
        <f>IF(SUM(E25:T28)=0, "",SUM(E25:T28))</f>
        <v/>
      </c>
      <c r="W25" s="120" t="n"/>
      <c r="X25" s="120" t="n"/>
      <c r="Y25" s="120" t="n"/>
      <c r="Z25" s="120">
        <f t="array" ref="Z25">IF(SUM(COUNTIF(E25:T28, {"В";"ВП";"ДД";"НА"}))=0, "", SUM(COUNTIF(E25:T28, {"В";"ВП";"ДД";"НА"})))</f>
        <v/>
      </c>
      <c r="AA25" s="131">
        <f>IF(COUNTIF(E25:T28, "ВВ")=0, "", COUNTIF(E25:T28, "ВВ"))</f>
        <v/>
      </c>
    </row>
    <row r="26" ht="14.65" customHeight="1" thickBot="1">
      <c r="A26" s="108" t="n"/>
      <c r="B26" s="108" t="n"/>
      <c r="C26" s="122" t="n"/>
      <c r="D26" s="123" t="n"/>
      <c r="E26" s="129">
        <f>IF(OR(E25="ВД", E25="Р"), 8, IF(OR(E25="X", E25="Х"), "X", ""))</f>
        <v/>
      </c>
      <c r="F26" s="129">
        <f>IF(OR(F25="ВД", F25="Р"), 8, IF(OR(F25="X", F25="Х"), "X", ""))</f>
        <v/>
      </c>
      <c r="G26" s="129">
        <f>IF(OR(G25="ВД", G25="Р"), 8, IF(OR(G25="X", G25="Х"), "X", ""))</f>
        <v/>
      </c>
      <c r="H26" s="129">
        <f>IF(OR(H25="ВД", H25="Р"), 8, IF(OR(H25="X", H25="Х"), "X", ""))</f>
        <v/>
      </c>
      <c r="I26" s="129">
        <f>IF(OR(I25="ВД", I25="Р"), 8, IF(OR(I25="X", I25="Х"), "X", ""))</f>
        <v/>
      </c>
      <c r="J26" s="129">
        <f>IF(OR(J25="ВД", J25="Р"), 8, IF(OR(J25="X", J25="Х"), "X", ""))</f>
        <v/>
      </c>
      <c r="K26" s="129">
        <f>IF(OR(K25="ВД", K25="Р"), 8, IF(OR(K25="X", K25="Х"), "X", ""))</f>
        <v/>
      </c>
      <c r="L26" s="129">
        <f>IF(OR(L25="ВД", L25="Р"), 8, IF(OR(L25="X", L25="Х"), "X", ""))</f>
        <v/>
      </c>
      <c r="M26" s="129">
        <f>IF(OR(M25="ВД", M25="Р"), 8, IF(OR(M25="X", M25="Х"), "X", ""))</f>
        <v/>
      </c>
      <c r="N26" s="129">
        <f>IF(OR(N25="ВД", N25="Р"), 8, IF(OR(N25="X", N25="Х"), "X", ""))</f>
        <v/>
      </c>
      <c r="O26" s="129">
        <f>IF(OR(O25="ВД", O25="Р"), 8, IF(OR(O25="X", O25="Х"), "X", ""))</f>
        <v/>
      </c>
      <c r="P26" s="129">
        <f>IF(OR(P25="ВД", P25="Р"), 8, IF(OR(P25="X", P25="Х"), "X", ""))</f>
        <v/>
      </c>
      <c r="Q26" s="129">
        <f>IF(OR(Q25="ВД", Q25="Р"), 8, IF(OR(Q25="X", Q25="Х"), "X", ""))</f>
        <v/>
      </c>
      <c r="R26" s="129">
        <f>IF(OR(R25="ВД", R25="Р"), 8, IF(OR(R25="X", R25="Х"), "X", ""))</f>
        <v/>
      </c>
      <c r="S26" s="129">
        <f>IF(OR(S25="ВД", S25="Р"), 8, IF(OR(S25="X", S25="Х"), "X", ""))</f>
        <v/>
      </c>
      <c r="T26" s="129">
        <f>IF(OR(T25="ВД", T25="Р"), 8, IF(OR(T25="X", T25="Х"), "X", ""))</f>
        <v/>
      </c>
      <c r="U26" s="124" t="n"/>
      <c r="V26" s="123" t="n"/>
      <c r="W26" s="123" t="n"/>
      <c r="X26" s="123" t="n"/>
      <c r="Y26" s="123" t="n"/>
      <c r="Z26" s="123" t="n"/>
      <c r="AA26" s="125" t="n"/>
    </row>
    <row r="27" ht="14.65" customHeight="1" thickBot="1">
      <c r="A27" s="108" t="n"/>
      <c r="B27" s="108" t="n"/>
      <c r="C27" s="122" t="n"/>
      <c r="D27" s="123" t="n"/>
      <c r="E27" s="129" t="inlineStr">
        <is>
          <t>Р</t>
        </is>
      </c>
      <c r="F27" s="129" t="inlineStr">
        <is>
          <t>Р</t>
        </is>
      </c>
      <c r="G27" s="129" t="inlineStr">
        <is>
          <t>ВД</t>
        </is>
      </c>
      <c r="H27" s="129" t="inlineStr">
        <is>
          <t>ВД</t>
        </is>
      </c>
      <c r="I27" s="129" t="inlineStr">
        <is>
          <t>ВД</t>
        </is>
      </c>
      <c r="J27" s="129" t="inlineStr">
        <is>
          <t>ВВ</t>
        </is>
      </c>
      <c r="K27" s="129" t="inlineStr">
        <is>
          <t>ВД</t>
        </is>
      </c>
      <c r="L27" s="129" t="inlineStr">
        <is>
          <t>ВД</t>
        </is>
      </c>
      <c r="M27" s="129" t="inlineStr">
        <is>
          <t>ВД</t>
        </is>
      </c>
      <c r="N27" s="129" t="inlineStr">
        <is>
          <t>Р</t>
        </is>
      </c>
      <c r="O27" s="129" t="inlineStr">
        <is>
          <t>Р</t>
        </is>
      </c>
      <c r="P27" s="129" t="inlineStr">
        <is>
          <t>ВВ</t>
        </is>
      </c>
      <c r="Q27" s="129" t="inlineStr">
        <is>
          <t>ВВ</t>
        </is>
      </c>
      <c r="R27" s="129" t="inlineStr">
        <is>
          <t>Р</t>
        </is>
      </c>
      <c r="S27" s="129" t="inlineStr">
        <is>
          <t>Р</t>
        </is>
      </c>
      <c r="T27" s="130" t="inlineStr">
        <is>
          <t>X</t>
        </is>
      </c>
      <c r="U27" s="124" t="n"/>
      <c r="V27" s="123" t="n"/>
      <c r="W27" s="123" t="n"/>
      <c r="X27" s="123" t="n"/>
      <c r="Y27" s="123" t="n"/>
      <c r="Z27" s="123" t="n"/>
      <c r="AA27" s="125" t="n"/>
    </row>
    <row r="28" ht="14.65" customHeight="1" thickBot="1">
      <c r="A28" s="115" t="n"/>
      <c r="B28" s="115" t="n"/>
      <c r="C28" s="112" t="n"/>
      <c r="D28" s="113" t="n"/>
      <c r="E28" s="129">
        <f>IF(OR(E27="ВД", E27="Р"), 8, IF(OR(E27="X", E27="Х"), "X", ""))</f>
        <v/>
      </c>
      <c r="F28" s="129">
        <f>IF(OR(F27="ВД", F27="Р"), 8, IF(OR(F27="X", F27="Х"), "X", ""))</f>
        <v/>
      </c>
      <c r="G28" s="129">
        <f>IF(OR(G27="ВД", G27="Р"), 8, IF(OR(G27="X", G27="Х"), "X", ""))</f>
        <v/>
      </c>
      <c r="H28" s="129">
        <f>IF(OR(H27="ВД", H27="Р"), 8, IF(OR(H27="X", H27="Х"), "X", ""))</f>
        <v/>
      </c>
      <c r="I28" s="129">
        <f>IF(OR(I27="ВД", I27="Р"), 8, IF(OR(I27="X", I27="Х"), "X", ""))</f>
        <v/>
      </c>
      <c r="J28" s="129">
        <f>IF(OR(J27="ВД", J27="Р"), 8, IF(OR(J27="X", J27="Х"), "X", ""))</f>
        <v/>
      </c>
      <c r="K28" s="129">
        <f>IF(OR(K27="ВД", K27="Р"), 8, IF(OR(K27="X", K27="Х"), "X", ""))</f>
        <v/>
      </c>
      <c r="L28" s="129">
        <f>IF(OR(L27="ВД", L27="Р"), 8, IF(OR(L27="X", L27="Х"), "X", ""))</f>
        <v/>
      </c>
      <c r="M28" s="129">
        <f>IF(OR(M27="ВД", M27="Р"), 8, IF(OR(M27="X", M27="Х"), "X", ""))</f>
        <v/>
      </c>
      <c r="N28" s="129">
        <f>IF(OR(N27="ВД", N27="Р"), 8, IF(OR(N27="X", N27="Х"), "X", ""))</f>
        <v/>
      </c>
      <c r="O28" s="129">
        <f>IF(OR(O27="ВД", O27="Р"), 8, IF(OR(O27="X", O27="Х"), "X", ""))</f>
        <v/>
      </c>
      <c r="P28" s="129">
        <f>IF(OR(P27="ВД", P27="Р"), 8, IF(OR(P27="X", P27="Х"), "X", ""))</f>
        <v/>
      </c>
      <c r="Q28" s="129">
        <f>IF(OR(Q27="ВД", Q27="Р"), 8, IF(OR(Q27="X", Q27="Х"), "X", ""))</f>
        <v/>
      </c>
      <c r="R28" s="129">
        <f>IF(OR(R27="ВД", R27="Р"), 8, IF(OR(R27="X", R27="Х"), "X", ""))</f>
        <v/>
      </c>
      <c r="S28" s="129">
        <f>IF(OR(S27="ВД", S27="Р"), 8, IF(OR(S27="X", S27="Х"), "X", ""))</f>
        <v/>
      </c>
      <c r="T28" s="129">
        <f>IF(OR(T27="ВД", T27="Р"), 8, IF(OR(T27="X", T27="Х"), "X", ""))</f>
        <v/>
      </c>
      <c r="U28" s="126" t="n"/>
      <c r="V28" s="113" t="n"/>
      <c r="W28" s="113" t="n"/>
      <c r="X28" s="113" t="n"/>
      <c r="Y28" s="113" t="n"/>
      <c r="Z28" s="113" t="n"/>
      <c r="AA28" s="114" t="n"/>
    </row>
    <row r="29" ht="14.65" customHeight="1" thickBot="1">
      <c r="A29" s="127" t="n">
        <v>1</v>
      </c>
      <c r="B29" s="127" t="inlineStr">
        <is>
          <t>Гладир
А. М.</t>
        </is>
      </c>
      <c r="C29" s="128">
        <f>INT((ROW()-13)/4)+1</f>
        <v/>
      </c>
      <c r="D29" s="120" t="inlineStr">
        <is>
          <t>ч</t>
        </is>
      </c>
      <c r="E29" s="129" t="inlineStr">
        <is>
          <t>Р</t>
        </is>
      </c>
      <c r="F29" s="129" t="inlineStr">
        <is>
          <t>Р</t>
        </is>
      </c>
      <c r="G29" s="129" t="inlineStr">
        <is>
          <t>Р</t>
        </is>
      </c>
      <c r="H29" s="129" t="inlineStr">
        <is>
          <t>Р</t>
        </is>
      </c>
      <c r="I29" s="129" t="inlineStr">
        <is>
          <t>Р</t>
        </is>
      </c>
      <c r="J29" s="129" t="inlineStr">
        <is>
          <t>ВВ</t>
        </is>
      </c>
      <c r="K29" s="129" t="inlineStr">
        <is>
          <t>ВВ</t>
        </is>
      </c>
      <c r="L29" s="129" t="inlineStr">
        <is>
          <t>Р</t>
        </is>
      </c>
      <c r="M29" s="129" t="inlineStr">
        <is>
          <t>Р</t>
        </is>
      </c>
      <c r="N29" s="129" t="inlineStr">
        <is>
          <t>Р</t>
        </is>
      </c>
      <c r="O29" s="129" t="inlineStr">
        <is>
          <t>Р</t>
        </is>
      </c>
      <c r="P29" s="129" t="inlineStr">
        <is>
          <t>Р</t>
        </is>
      </c>
      <c r="Q29" s="129" t="inlineStr">
        <is>
          <t>ВВ</t>
        </is>
      </c>
      <c r="R29" s="129" t="inlineStr">
        <is>
          <t>ВВ</t>
        </is>
      </c>
      <c r="S29" s="129" t="inlineStr">
        <is>
          <t>Р</t>
        </is>
      </c>
      <c r="T29" s="130" t="inlineStr">
        <is>
          <t>X</t>
        </is>
      </c>
      <c r="U29" s="119">
        <f>IF(COUNT(E29:T32)=0, "", COUNT(E29:T32))</f>
        <v/>
      </c>
      <c r="V29" s="120">
        <f>IF(SUM(E29:T32)=0, "",SUM(E29:T32))</f>
        <v/>
      </c>
      <c r="W29" s="120" t="n"/>
      <c r="X29" s="120" t="n"/>
      <c r="Y29" s="120" t="n"/>
      <c r="Z29" s="120">
        <f t="array" ref="Z29">IF(SUM(COUNTIF(E29:T32, {"В";"ВП";"ДД";"НА"}))=0, "", SUM(COUNTIF(E29:T32, {"В";"ВП";"ДД";"НА"})))</f>
        <v/>
      </c>
      <c r="AA29" s="131">
        <f>IF(COUNTIF(E29:T32, "ВВ")=0, "", COUNTIF(E29:T32, "ВВ"))</f>
        <v/>
      </c>
    </row>
    <row r="30" ht="14.65" customHeight="1" thickBot="1">
      <c r="A30" s="108" t="n"/>
      <c r="B30" s="108" t="n"/>
      <c r="C30" s="122" t="n"/>
      <c r="D30" s="123" t="n"/>
      <c r="E30" s="129">
        <f>IF(OR(E29="ВД", E29="Р"), 8, IF(OR(E29="X", E29="Х"), "X", ""))</f>
        <v/>
      </c>
      <c r="F30" s="129">
        <f>IF(OR(F29="ВД", F29="Р"), 8, IF(OR(F29="X", F29="Х"), "X", ""))</f>
        <v/>
      </c>
      <c r="G30" s="129">
        <f>IF(OR(G29="ВД", G29="Р"), 8, IF(OR(G29="X", G29="Х"), "X", ""))</f>
        <v/>
      </c>
      <c r="H30" s="129">
        <f>IF(OR(H29="ВД", H29="Р"), 8, IF(OR(H29="X", H29="Х"), "X", ""))</f>
        <v/>
      </c>
      <c r="I30" s="129">
        <f>IF(OR(I29="ВД", I29="Р"), 8, IF(OR(I29="X", I29="Х"), "X", ""))</f>
        <v/>
      </c>
      <c r="J30" s="129">
        <f>IF(OR(J29="ВД", J29="Р"), 8, IF(OR(J29="X", J29="Х"), "X", ""))</f>
        <v/>
      </c>
      <c r="K30" s="129">
        <f>IF(OR(K29="ВД", K29="Р"), 8, IF(OR(K29="X", K29="Х"), "X", ""))</f>
        <v/>
      </c>
      <c r="L30" s="129">
        <f>IF(OR(L29="ВД", L29="Р"), 8, IF(OR(L29="X", L29="Х"), "X", ""))</f>
        <v/>
      </c>
      <c r="M30" s="129">
        <f>IF(OR(M29="ВД", M29="Р"), 8, IF(OR(M29="X", M29="Х"), "X", ""))</f>
        <v/>
      </c>
      <c r="N30" s="129">
        <f>IF(OR(N29="ВД", N29="Р"), 8, IF(OR(N29="X", N29="Х"), "X", ""))</f>
        <v/>
      </c>
      <c r="O30" s="129">
        <f>IF(OR(O29="ВД", O29="Р"), 8, IF(OR(O29="X", O29="Х"), "X", ""))</f>
        <v/>
      </c>
      <c r="P30" s="129">
        <f>IF(OR(P29="ВД", P29="Р"), 8, IF(OR(P29="X", P29="Х"), "X", ""))</f>
        <v/>
      </c>
      <c r="Q30" s="129">
        <f>IF(OR(Q29="ВД", Q29="Р"), 8, IF(OR(Q29="X", Q29="Х"), "X", ""))</f>
        <v/>
      </c>
      <c r="R30" s="129">
        <f>IF(OR(R29="ВД", R29="Р"), 8, IF(OR(R29="X", R29="Х"), "X", ""))</f>
        <v/>
      </c>
      <c r="S30" s="129">
        <f>IF(OR(S29="ВД", S29="Р"), 8, IF(OR(S29="X", S29="Х"), "X", ""))</f>
        <v/>
      </c>
      <c r="T30" s="129">
        <f>IF(OR(T29="ВД", T29="Р"), 8, IF(OR(T29="X", T29="Х"), "X", ""))</f>
        <v/>
      </c>
      <c r="U30" s="124" t="n"/>
      <c r="V30" s="123" t="n"/>
      <c r="W30" s="123" t="n"/>
      <c r="X30" s="123" t="n"/>
      <c r="Y30" s="123" t="n"/>
      <c r="Z30" s="123" t="n"/>
      <c r="AA30" s="125" t="n"/>
    </row>
    <row r="31" ht="14.65" customHeight="1" thickBot="1">
      <c r="A31" s="108" t="n"/>
      <c r="B31" s="108" t="n"/>
      <c r="C31" s="122" t="n"/>
      <c r="D31" s="123" t="n"/>
      <c r="E31" s="129" t="inlineStr">
        <is>
          <t>Р</t>
        </is>
      </c>
      <c r="F31" s="129" t="inlineStr">
        <is>
          <t>ВД</t>
        </is>
      </c>
      <c r="G31" s="129" t="inlineStr">
        <is>
          <t>ВД</t>
        </is>
      </c>
      <c r="H31" s="129" t="inlineStr">
        <is>
          <t>ВД</t>
        </is>
      </c>
      <c r="I31" s="129" t="inlineStr">
        <is>
          <t>ВД</t>
        </is>
      </c>
      <c r="J31" s="129" t="inlineStr">
        <is>
          <t>ВД</t>
        </is>
      </c>
      <c r="K31" s="129" t="inlineStr">
        <is>
          <t>ВД</t>
        </is>
      </c>
      <c r="L31" s="129" t="inlineStr">
        <is>
          <t>ВД</t>
        </is>
      </c>
      <c r="M31" s="129" t="inlineStr">
        <is>
          <t>ВД</t>
        </is>
      </c>
      <c r="N31" s="129" t="inlineStr">
        <is>
          <t>ВД</t>
        </is>
      </c>
      <c r="O31" s="129" t="inlineStr">
        <is>
          <t>Р</t>
        </is>
      </c>
      <c r="P31" s="129" t="inlineStr">
        <is>
          <t>ВВ</t>
        </is>
      </c>
      <c r="Q31" s="129" t="inlineStr">
        <is>
          <t>ВВ</t>
        </is>
      </c>
      <c r="R31" s="129" t="inlineStr">
        <is>
          <t>Р</t>
        </is>
      </c>
      <c r="S31" s="129" t="inlineStr">
        <is>
          <t>Р</t>
        </is>
      </c>
      <c r="T31" s="130" t="inlineStr">
        <is>
          <t>X</t>
        </is>
      </c>
      <c r="U31" s="124" t="n"/>
      <c r="V31" s="123" t="n"/>
      <c r="W31" s="123" t="n"/>
      <c r="X31" s="123" t="n"/>
      <c r="Y31" s="123" t="n"/>
      <c r="Z31" s="123" t="n"/>
      <c r="AA31" s="125" t="n"/>
    </row>
    <row r="32" ht="14.65" customHeight="1" thickBot="1">
      <c r="A32" s="115" t="n"/>
      <c r="B32" s="115" t="n"/>
      <c r="C32" s="112" t="n"/>
      <c r="D32" s="113" t="n"/>
      <c r="E32" s="129">
        <f>IF(OR(E31="ВД", E31="Р"), 8, IF(OR(E31="X", E31="Х"), "X", ""))</f>
        <v/>
      </c>
      <c r="F32" s="129">
        <f>IF(OR(F31="ВД", F31="Р"), 8, IF(OR(F31="X", F31="Х"), "X", ""))</f>
        <v/>
      </c>
      <c r="G32" s="129">
        <f>IF(OR(G31="ВД", G31="Р"), 8, IF(OR(G31="X", G31="Х"), "X", ""))</f>
        <v/>
      </c>
      <c r="H32" s="129">
        <f>IF(OR(H31="ВД", H31="Р"), 8, IF(OR(H31="X", H31="Х"), "X", ""))</f>
        <v/>
      </c>
      <c r="I32" s="129">
        <f>IF(OR(I31="ВД", I31="Р"), 8, IF(OR(I31="X", I31="Х"), "X", ""))</f>
        <v/>
      </c>
      <c r="J32" s="129">
        <f>IF(OR(J31="ВД", J31="Р"), 8, IF(OR(J31="X", J31="Х"), "X", ""))</f>
        <v/>
      </c>
      <c r="K32" s="129">
        <f>IF(OR(K31="ВД", K31="Р"), 8, IF(OR(K31="X", K31="Х"), "X", ""))</f>
        <v/>
      </c>
      <c r="L32" s="129">
        <f>IF(OR(L31="ВД", L31="Р"), 8, IF(OR(L31="X", L31="Х"), "X", ""))</f>
        <v/>
      </c>
      <c r="M32" s="129">
        <f>IF(OR(M31="ВД", M31="Р"), 8, IF(OR(M31="X", M31="Х"), "X", ""))</f>
        <v/>
      </c>
      <c r="N32" s="129">
        <f>IF(OR(N31="ВД", N31="Р"), 8, IF(OR(N31="X", N31="Х"), "X", ""))</f>
        <v/>
      </c>
      <c r="O32" s="129">
        <f>IF(OR(O31="ВД", O31="Р"), 8, IF(OR(O31="X", O31="Х"), "X", ""))</f>
        <v/>
      </c>
      <c r="P32" s="129">
        <f>IF(OR(P31="ВД", P31="Р"), 8, IF(OR(P31="X", P31="Х"), "X", ""))</f>
        <v/>
      </c>
      <c r="Q32" s="129">
        <f>IF(OR(Q31="ВД", Q31="Р"), 8, IF(OR(Q31="X", Q31="Х"), "X", ""))</f>
        <v/>
      </c>
      <c r="R32" s="129">
        <f>IF(OR(R31="ВД", R31="Р"), 8, IF(OR(R31="X", R31="Х"), "X", ""))</f>
        <v/>
      </c>
      <c r="S32" s="129">
        <f>IF(OR(S31="ВД", S31="Р"), 8, IF(OR(S31="X", S31="Х"), "X", ""))</f>
        <v/>
      </c>
      <c r="T32" s="129">
        <f>IF(OR(T31="ВД", T31="Р"), 8, IF(OR(T31="X", T31="Х"), "X", ""))</f>
        <v/>
      </c>
      <c r="U32" s="126" t="n"/>
      <c r="V32" s="113" t="n"/>
      <c r="W32" s="113" t="n"/>
      <c r="X32" s="113" t="n"/>
      <c r="Y32" s="113" t="n"/>
      <c r="Z32" s="113" t="n"/>
      <c r="AA32" s="114" t="n"/>
    </row>
    <row r="33" ht="14.65" customHeight="1" thickBot="1">
      <c r="A33" s="127" t="n">
        <v>1</v>
      </c>
      <c r="B33" s="127" t="inlineStr">
        <is>
          <t>Дяченко
О. Ю.</t>
        </is>
      </c>
      <c r="C33" s="128">
        <f>INT((ROW()-13)/4)+1</f>
        <v/>
      </c>
      <c r="D33" s="120" t="inlineStr">
        <is>
          <t>ч</t>
        </is>
      </c>
      <c r="E33" s="129" t="inlineStr">
        <is>
          <t>Р</t>
        </is>
      </c>
      <c r="F33" s="129" t="inlineStr">
        <is>
          <t>Р</t>
        </is>
      </c>
      <c r="G33" s="129" t="inlineStr">
        <is>
          <t>Р</t>
        </is>
      </c>
      <c r="H33" s="129" t="inlineStr">
        <is>
          <t>Р</t>
        </is>
      </c>
      <c r="I33" s="129" t="inlineStr">
        <is>
          <t>Р</t>
        </is>
      </c>
      <c r="J33" s="129" t="inlineStr">
        <is>
          <t>ВВ</t>
        </is>
      </c>
      <c r="K33" s="129" t="inlineStr">
        <is>
          <t>ВВ</t>
        </is>
      </c>
      <c r="L33" s="129" t="inlineStr">
        <is>
          <t>Р</t>
        </is>
      </c>
      <c r="M33" s="129" t="inlineStr">
        <is>
          <t>Р</t>
        </is>
      </c>
      <c r="N33" s="129" t="inlineStr">
        <is>
          <t>Р</t>
        </is>
      </c>
      <c r="O33" s="129" t="inlineStr">
        <is>
          <t>Р</t>
        </is>
      </c>
      <c r="P33" s="129" t="inlineStr">
        <is>
          <t>Р</t>
        </is>
      </c>
      <c r="Q33" s="129" t="inlineStr">
        <is>
          <t>ВВ</t>
        </is>
      </c>
      <c r="R33" s="129" t="inlineStr">
        <is>
          <t>ВВ</t>
        </is>
      </c>
      <c r="S33" s="129" t="inlineStr">
        <is>
          <t>Р</t>
        </is>
      </c>
      <c r="T33" s="130" t="inlineStr">
        <is>
          <t>X</t>
        </is>
      </c>
      <c r="U33" s="119">
        <f>IF(COUNT(E33:T36)=0, "", COUNT(E33:T36))</f>
        <v/>
      </c>
      <c r="V33" s="120">
        <f>IF(SUM(E33:T36)=0, "",SUM(E33:T36))</f>
        <v/>
      </c>
      <c r="W33" s="120" t="n"/>
      <c r="X33" s="120" t="n"/>
      <c r="Y33" s="120" t="n"/>
      <c r="Z33" s="120">
        <f t="array" ref="Z33">IF(SUM(COUNTIF(E33:T36, {"В";"ВП";"ДД";"НА"}))=0, "", SUM(COUNTIF(E33:T36, {"В";"ВП";"ДД";"НА"})))</f>
        <v/>
      </c>
      <c r="AA33" s="131">
        <f>IF(COUNTIF(E33:T36, "ВВ")=0, "", COUNTIF(E33:T36, "ВВ"))</f>
        <v/>
      </c>
    </row>
    <row r="34" ht="14.65" customHeight="1" thickBot="1">
      <c r="A34" s="108" t="n"/>
      <c r="B34" s="108" t="n"/>
      <c r="C34" s="122" t="n"/>
      <c r="D34" s="123" t="n"/>
      <c r="E34" s="129">
        <f>IF(OR(E33="ВД", E33="Р"), 8, IF(OR(E33="X", E33="Х"), "X", ""))</f>
        <v/>
      </c>
      <c r="F34" s="129">
        <f>IF(OR(F33="ВД", F33="Р"), 8, IF(OR(F33="X", F33="Х"), "X", ""))</f>
        <v/>
      </c>
      <c r="G34" s="129">
        <f>IF(OR(G33="ВД", G33="Р"), 8, IF(OR(G33="X", G33="Х"), "X", ""))</f>
        <v/>
      </c>
      <c r="H34" s="129">
        <f>IF(OR(H33="ВД", H33="Р"), 8, IF(OR(H33="X", H33="Х"), "X", ""))</f>
        <v/>
      </c>
      <c r="I34" s="129">
        <f>IF(OR(I33="ВД", I33="Р"), 8, IF(OR(I33="X", I33="Х"), "X", ""))</f>
        <v/>
      </c>
      <c r="J34" s="129">
        <f>IF(OR(J33="ВД", J33="Р"), 8, IF(OR(J33="X", J33="Х"), "X", ""))</f>
        <v/>
      </c>
      <c r="K34" s="129">
        <f>IF(OR(K33="ВД", K33="Р"), 8, IF(OR(K33="X", K33="Х"), "X", ""))</f>
        <v/>
      </c>
      <c r="L34" s="129">
        <f>IF(OR(L33="ВД", L33="Р"), 8, IF(OR(L33="X", L33="Х"), "X", ""))</f>
        <v/>
      </c>
      <c r="M34" s="129">
        <f>IF(OR(M33="ВД", M33="Р"), 8, IF(OR(M33="X", M33="Х"), "X", ""))</f>
        <v/>
      </c>
      <c r="N34" s="129">
        <f>IF(OR(N33="ВД", N33="Р"), 8, IF(OR(N33="X", N33="Х"), "X", ""))</f>
        <v/>
      </c>
      <c r="O34" s="129">
        <f>IF(OR(O33="ВД", O33="Р"), 8, IF(OR(O33="X", O33="Х"), "X", ""))</f>
        <v/>
      </c>
      <c r="P34" s="129">
        <f>IF(OR(P33="ВД", P33="Р"), 8, IF(OR(P33="X", P33="Х"), "X", ""))</f>
        <v/>
      </c>
      <c r="Q34" s="129">
        <f>IF(OR(Q33="ВД", Q33="Р"), 8, IF(OR(Q33="X", Q33="Х"), "X", ""))</f>
        <v/>
      </c>
      <c r="R34" s="129">
        <f>IF(OR(R33="ВД", R33="Р"), 8, IF(OR(R33="X", R33="Х"), "X", ""))</f>
        <v/>
      </c>
      <c r="S34" s="129">
        <f>IF(OR(S33="ВД", S33="Р"), 8, IF(OR(S33="X", S33="Х"), "X", ""))</f>
        <v/>
      </c>
      <c r="T34" s="129">
        <f>IF(OR(T33="ВД", T33="Р"), 8, IF(OR(T33="X", T33="Х"), "X", ""))</f>
        <v/>
      </c>
      <c r="U34" s="124" t="n"/>
      <c r="V34" s="123" t="n"/>
      <c r="W34" s="123" t="n"/>
      <c r="X34" s="123" t="n"/>
      <c r="Y34" s="123" t="n"/>
      <c r="Z34" s="123" t="n"/>
      <c r="AA34" s="125" t="n"/>
    </row>
    <row r="35" ht="14.65" customHeight="1" thickBot="1">
      <c r="A35" s="108" t="n"/>
      <c r="B35" s="108" t="n"/>
      <c r="C35" s="122" t="n"/>
      <c r="D35" s="123" t="n"/>
      <c r="E35" s="129" t="inlineStr">
        <is>
          <t>Р</t>
        </is>
      </c>
      <c r="F35" s="129" t="inlineStr">
        <is>
          <t>Р</t>
        </is>
      </c>
      <c r="G35" s="129" t="inlineStr">
        <is>
          <t>ВД</t>
        </is>
      </c>
      <c r="H35" s="129" t="inlineStr">
        <is>
          <t>ВД</t>
        </is>
      </c>
      <c r="I35" s="129" t="inlineStr">
        <is>
          <t>ВД</t>
        </is>
      </c>
      <c r="J35" s="129" t="inlineStr">
        <is>
          <t>ВВ</t>
        </is>
      </c>
      <c r="K35" s="129" t="inlineStr">
        <is>
          <t>Р</t>
        </is>
      </c>
      <c r="L35" s="129" t="inlineStr">
        <is>
          <t>Р</t>
        </is>
      </c>
      <c r="M35" s="129" t="inlineStr">
        <is>
          <t>Р</t>
        </is>
      </c>
      <c r="N35" s="129" t="inlineStr">
        <is>
          <t>Р</t>
        </is>
      </c>
      <c r="O35" s="129" t="inlineStr">
        <is>
          <t>Р</t>
        </is>
      </c>
      <c r="P35" s="129" t="inlineStr">
        <is>
          <t>ВВ</t>
        </is>
      </c>
      <c r="Q35" s="129" t="inlineStr">
        <is>
          <t>ВВ</t>
        </is>
      </c>
      <c r="R35" s="129" t="inlineStr">
        <is>
          <t>Р</t>
        </is>
      </c>
      <c r="S35" s="129" t="inlineStr">
        <is>
          <t>Р</t>
        </is>
      </c>
      <c r="T35" s="130" t="inlineStr">
        <is>
          <t>X</t>
        </is>
      </c>
      <c r="U35" s="124" t="n"/>
      <c r="V35" s="123" t="n"/>
      <c r="W35" s="123" t="n"/>
      <c r="X35" s="123" t="n"/>
      <c r="Y35" s="123" t="n"/>
      <c r="Z35" s="123" t="n"/>
      <c r="AA35" s="125" t="n"/>
    </row>
    <row r="36" ht="14.65" customHeight="1" thickBot="1">
      <c r="A36" s="115" t="n"/>
      <c r="B36" s="115" t="n"/>
      <c r="C36" s="112" t="n"/>
      <c r="D36" s="113" t="n"/>
      <c r="E36" s="129">
        <f>IF(OR(E35="ВД", E35="Р"), 8, IF(OR(E35="X", E35="Х"), "X", ""))</f>
        <v/>
      </c>
      <c r="F36" s="129">
        <f>IF(OR(F35="ВД", F35="Р"), 8, IF(OR(F35="X", F35="Х"), "X", ""))</f>
        <v/>
      </c>
      <c r="G36" s="129">
        <f>IF(OR(G35="ВД", G35="Р"), 8, IF(OR(G35="X", G35="Х"), "X", ""))</f>
        <v/>
      </c>
      <c r="H36" s="129">
        <f>IF(OR(H35="ВД", H35="Р"), 8, IF(OR(H35="X", H35="Х"), "X", ""))</f>
        <v/>
      </c>
      <c r="I36" s="129">
        <f>IF(OR(I35="ВД", I35="Р"), 8, IF(OR(I35="X", I35="Х"), "X", ""))</f>
        <v/>
      </c>
      <c r="J36" s="129">
        <f>IF(OR(J35="ВД", J35="Р"), 8, IF(OR(J35="X", J35="Х"), "X", ""))</f>
        <v/>
      </c>
      <c r="K36" s="129">
        <f>IF(OR(K35="ВД", K35="Р"), 8, IF(OR(K35="X", K35="Х"), "X", ""))</f>
        <v/>
      </c>
      <c r="L36" s="129">
        <f>IF(OR(L35="ВД", L35="Р"), 8, IF(OR(L35="X", L35="Х"), "X", ""))</f>
        <v/>
      </c>
      <c r="M36" s="129">
        <f>IF(OR(M35="ВД", M35="Р"), 8, IF(OR(M35="X", M35="Х"), "X", ""))</f>
        <v/>
      </c>
      <c r="N36" s="129">
        <f>IF(OR(N35="ВД", N35="Р"), 8, IF(OR(N35="X", N35="Х"), "X", ""))</f>
        <v/>
      </c>
      <c r="O36" s="129">
        <f>IF(OR(O35="ВД", O35="Р"), 8, IF(OR(O35="X", O35="Х"), "X", ""))</f>
        <v/>
      </c>
      <c r="P36" s="129">
        <f>IF(OR(P35="ВД", P35="Р"), 8, IF(OR(P35="X", P35="Х"), "X", ""))</f>
        <v/>
      </c>
      <c r="Q36" s="129">
        <f>IF(OR(Q35="ВД", Q35="Р"), 8, IF(OR(Q35="X", Q35="Х"), "X", ""))</f>
        <v/>
      </c>
      <c r="R36" s="129">
        <f>IF(OR(R35="ВД", R35="Р"), 8, IF(OR(R35="X", R35="Х"), "X", ""))</f>
        <v/>
      </c>
      <c r="S36" s="129">
        <f>IF(OR(S35="ВД", S35="Р"), 8, IF(OR(S35="X", S35="Х"), "X", ""))</f>
        <v/>
      </c>
      <c r="T36" s="129">
        <f>IF(OR(T35="ВД", T35="Р"), 8, IF(OR(T35="X", T35="Х"), "X", ""))</f>
        <v/>
      </c>
      <c r="U36" s="126" t="n"/>
      <c r="V36" s="113" t="n"/>
      <c r="W36" s="113" t="n"/>
      <c r="X36" s="113" t="n"/>
      <c r="Y36" s="113" t="n"/>
      <c r="Z36" s="113" t="n"/>
      <c r="AA36" s="114" t="n"/>
    </row>
    <row r="37" ht="14.65" customHeight="1" thickBot="1">
      <c r="A37" s="127" t="n">
        <v>1</v>
      </c>
      <c r="B37" s="127" t="inlineStr">
        <is>
          <t>Дяченко
О.</t>
        </is>
      </c>
      <c r="C37" s="128">
        <f>INT((ROW()-13)/4)+1</f>
        <v/>
      </c>
      <c r="D37" s="120" t="inlineStr">
        <is>
          <t>ч</t>
        </is>
      </c>
      <c r="E37" s="129" t="inlineStr">
        <is>
          <t>Р</t>
        </is>
      </c>
      <c r="F37" s="129" t="inlineStr">
        <is>
          <t>Р</t>
        </is>
      </c>
      <c r="G37" s="129" t="inlineStr">
        <is>
          <t>Р</t>
        </is>
      </c>
      <c r="H37" s="129" t="inlineStr">
        <is>
          <t>Р</t>
        </is>
      </c>
      <c r="I37" s="129" t="inlineStr">
        <is>
          <t>Р</t>
        </is>
      </c>
      <c r="J37" s="129" t="inlineStr">
        <is>
          <t>ВВ</t>
        </is>
      </c>
      <c r="K37" s="129" t="inlineStr">
        <is>
          <t>ВВ</t>
        </is>
      </c>
      <c r="L37" s="129" t="inlineStr">
        <is>
          <t>Р</t>
        </is>
      </c>
      <c r="M37" s="129" t="inlineStr">
        <is>
          <t>Р</t>
        </is>
      </c>
      <c r="N37" s="129" t="inlineStr">
        <is>
          <t>Р</t>
        </is>
      </c>
      <c r="O37" s="129" t="inlineStr">
        <is>
          <t>Р</t>
        </is>
      </c>
      <c r="P37" s="129" t="inlineStr">
        <is>
          <t>Р</t>
        </is>
      </c>
      <c r="Q37" s="129" t="inlineStr">
        <is>
          <t>ВВ</t>
        </is>
      </c>
      <c r="R37" s="129" t="inlineStr">
        <is>
          <t>ВВ</t>
        </is>
      </c>
      <c r="S37" s="129" t="inlineStr">
        <is>
          <t>Р</t>
        </is>
      </c>
      <c r="T37" s="130" t="inlineStr">
        <is>
          <t>X</t>
        </is>
      </c>
      <c r="U37" s="119">
        <f>IF(COUNT(E37:T40)=0, "", COUNT(E37:T40))</f>
        <v/>
      </c>
      <c r="V37" s="120">
        <f>IF(SUM(E37:T40)=0, "",SUM(E37:T40))</f>
        <v/>
      </c>
      <c r="W37" s="120" t="n"/>
      <c r="X37" s="120" t="n"/>
      <c r="Y37" s="120" t="n"/>
      <c r="Z37" s="120">
        <f t="array" ref="Z37">IF(SUM(COUNTIF(E37:T40, {"В";"ВП";"ДД";"НА"}))=0, "", SUM(COUNTIF(E37:T40, {"В";"ВП";"ДД";"НА"})))</f>
        <v/>
      </c>
      <c r="AA37" s="131">
        <f>IF(COUNTIF(E37:T40, "ВВ")=0, "", COUNTIF(E37:T40, "ВВ"))</f>
        <v/>
      </c>
    </row>
    <row r="38" ht="14.65" customHeight="1" thickBot="1">
      <c r="A38" s="108" t="n"/>
      <c r="B38" s="108" t="n"/>
      <c r="C38" s="122" t="n"/>
      <c r="D38" s="123" t="n"/>
      <c r="E38" s="129">
        <f>IF(OR(E37="ВД", E37="Р"), 8, IF(OR(E37="X", E37="Х"), "X", ""))</f>
        <v/>
      </c>
      <c r="F38" s="129">
        <f>IF(OR(F37="ВД", F37="Р"), 8, IF(OR(F37="X", F37="Х"), "X", ""))</f>
        <v/>
      </c>
      <c r="G38" s="129">
        <f>IF(OR(G37="ВД", G37="Р"), 8, IF(OR(G37="X", G37="Х"), "X", ""))</f>
        <v/>
      </c>
      <c r="H38" s="129">
        <f>IF(OR(H37="ВД", H37="Р"), 8, IF(OR(H37="X", H37="Х"), "X", ""))</f>
        <v/>
      </c>
      <c r="I38" s="129">
        <f>IF(OR(I37="ВД", I37="Р"), 8, IF(OR(I37="X", I37="Х"), "X", ""))</f>
        <v/>
      </c>
      <c r="J38" s="129">
        <f>IF(OR(J37="ВД", J37="Р"), 8, IF(OR(J37="X", J37="Х"), "X", ""))</f>
        <v/>
      </c>
      <c r="K38" s="129">
        <f>IF(OR(K37="ВД", K37="Р"), 8, IF(OR(K37="X", K37="Х"), "X", ""))</f>
        <v/>
      </c>
      <c r="L38" s="129">
        <f>IF(OR(L37="ВД", L37="Р"), 8, IF(OR(L37="X", L37="Х"), "X", ""))</f>
        <v/>
      </c>
      <c r="M38" s="129">
        <f>IF(OR(M37="ВД", M37="Р"), 8, IF(OR(M37="X", M37="Х"), "X", ""))</f>
        <v/>
      </c>
      <c r="N38" s="129">
        <f>IF(OR(N37="ВД", N37="Р"), 8, IF(OR(N37="X", N37="Х"), "X", ""))</f>
        <v/>
      </c>
      <c r="O38" s="129">
        <f>IF(OR(O37="ВД", O37="Р"), 8, IF(OR(O37="X", O37="Х"), "X", ""))</f>
        <v/>
      </c>
      <c r="P38" s="129">
        <f>IF(OR(P37="ВД", P37="Р"), 8, IF(OR(P37="X", P37="Х"), "X", ""))</f>
        <v/>
      </c>
      <c r="Q38" s="129">
        <f>IF(OR(Q37="ВД", Q37="Р"), 8, IF(OR(Q37="X", Q37="Х"), "X", ""))</f>
        <v/>
      </c>
      <c r="R38" s="129">
        <f>IF(OR(R37="ВД", R37="Р"), 8, IF(OR(R37="X", R37="Х"), "X", ""))</f>
        <v/>
      </c>
      <c r="S38" s="129">
        <f>IF(OR(S37="ВД", S37="Р"), 8, IF(OR(S37="X", S37="Х"), "X", ""))</f>
        <v/>
      </c>
      <c r="T38" s="129">
        <f>IF(OR(T37="ВД", T37="Р"), 8, IF(OR(T37="X", T37="Х"), "X", ""))</f>
        <v/>
      </c>
      <c r="U38" s="124" t="n"/>
      <c r="V38" s="123" t="n"/>
      <c r="W38" s="123" t="n"/>
      <c r="X38" s="123" t="n"/>
      <c r="Y38" s="123" t="n"/>
      <c r="Z38" s="123" t="n"/>
      <c r="AA38" s="125" t="n"/>
    </row>
    <row r="39" ht="14.65" customHeight="1" thickBot="1">
      <c r="A39" s="108" t="n"/>
      <c r="B39" s="108" t="n"/>
      <c r="C39" s="122" t="n"/>
      <c r="D39" s="123" t="n"/>
      <c r="E39" s="129" t="inlineStr">
        <is>
          <t>Р</t>
        </is>
      </c>
      <c r="F39" s="129" t="inlineStr">
        <is>
          <t>Р</t>
        </is>
      </c>
      <c r="G39" s="129" t="inlineStr">
        <is>
          <t>Р</t>
        </is>
      </c>
      <c r="H39" s="129" t="inlineStr">
        <is>
          <t>Р</t>
        </is>
      </c>
      <c r="I39" s="129" t="inlineStr">
        <is>
          <t>ВВ</t>
        </is>
      </c>
      <c r="J39" s="129" t="inlineStr">
        <is>
          <t>ВВ</t>
        </is>
      </c>
      <c r="K39" s="129" t="inlineStr">
        <is>
          <t>Р</t>
        </is>
      </c>
      <c r="L39" s="129" t="inlineStr">
        <is>
          <t>Р</t>
        </is>
      </c>
      <c r="M39" s="129" t="inlineStr">
        <is>
          <t>ВД</t>
        </is>
      </c>
      <c r="N39" s="129" t="inlineStr">
        <is>
          <t>Р</t>
        </is>
      </c>
      <c r="O39" s="129" t="inlineStr">
        <is>
          <t>Р</t>
        </is>
      </c>
      <c r="P39" s="129" t="inlineStr">
        <is>
          <t>ВВ</t>
        </is>
      </c>
      <c r="Q39" s="129" t="inlineStr">
        <is>
          <t>ВВ</t>
        </is>
      </c>
      <c r="R39" s="129" t="inlineStr">
        <is>
          <t>Р</t>
        </is>
      </c>
      <c r="S39" s="129" t="inlineStr">
        <is>
          <t>Р</t>
        </is>
      </c>
      <c r="T39" s="130" t="inlineStr">
        <is>
          <t>X</t>
        </is>
      </c>
      <c r="U39" s="124" t="n"/>
      <c r="V39" s="123" t="n"/>
      <c r="W39" s="123" t="n"/>
      <c r="X39" s="123" t="n"/>
      <c r="Y39" s="123" t="n"/>
      <c r="Z39" s="123" t="n"/>
      <c r="AA39" s="125" t="n"/>
    </row>
    <row r="40" ht="14.65" customHeight="1" thickBot="1">
      <c r="A40" s="115" t="n"/>
      <c r="B40" s="115" t="n"/>
      <c r="C40" s="112" t="n"/>
      <c r="D40" s="113" t="n"/>
      <c r="E40" s="129">
        <f>IF(OR(E39="ВД", E39="Р"), 8, IF(OR(E39="X", E39="Х"), "X", ""))</f>
        <v/>
      </c>
      <c r="F40" s="129">
        <f>IF(OR(F39="ВД", F39="Р"), 8, IF(OR(F39="X", F39="Х"), "X", ""))</f>
        <v/>
      </c>
      <c r="G40" s="129">
        <f>IF(OR(G39="ВД", G39="Р"), 8, IF(OR(G39="X", G39="Х"), "X", ""))</f>
        <v/>
      </c>
      <c r="H40" s="129">
        <f>IF(OR(H39="ВД", H39="Р"), 8, IF(OR(H39="X", H39="Х"), "X", ""))</f>
        <v/>
      </c>
      <c r="I40" s="129">
        <f>IF(OR(I39="ВД", I39="Р"), 8, IF(OR(I39="X", I39="Х"), "X", ""))</f>
        <v/>
      </c>
      <c r="J40" s="129">
        <f>IF(OR(J39="ВД", J39="Р"), 8, IF(OR(J39="X", J39="Х"), "X", ""))</f>
        <v/>
      </c>
      <c r="K40" s="129">
        <f>IF(OR(K39="ВД", K39="Р"), 8, IF(OR(K39="X", K39="Х"), "X", ""))</f>
        <v/>
      </c>
      <c r="L40" s="129">
        <f>IF(OR(L39="ВД", L39="Р"), 8, IF(OR(L39="X", L39="Х"), "X", ""))</f>
        <v/>
      </c>
      <c r="M40" s="129">
        <f>IF(OR(M39="ВД", M39="Р"), 8, IF(OR(M39="X", M39="Х"), "X", ""))</f>
        <v/>
      </c>
      <c r="N40" s="129">
        <f>IF(OR(N39="ВД", N39="Р"), 8, IF(OR(N39="X", N39="Х"), "X", ""))</f>
        <v/>
      </c>
      <c r="O40" s="129">
        <f>IF(OR(O39="ВД", O39="Р"), 8, IF(OR(O39="X", O39="Х"), "X", ""))</f>
        <v/>
      </c>
      <c r="P40" s="129">
        <f>IF(OR(P39="ВД", P39="Р"), 8, IF(OR(P39="X", P39="Х"), "X", ""))</f>
        <v/>
      </c>
      <c r="Q40" s="129">
        <f>IF(OR(Q39="ВД", Q39="Р"), 8, IF(OR(Q39="X", Q39="Х"), "X", ""))</f>
        <v/>
      </c>
      <c r="R40" s="129">
        <f>IF(OR(R39="ВД", R39="Р"), 8, IF(OR(R39="X", R39="Х"), "X", ""))</f>
        <v/>
      </c>
      <c r="S40" s="129">
        <f>IF(OR(S39="ВД", S39="Р"), 8, IF(OR(S39="X", S39="Х"), "X", ""))</f>
        <v/>
      </c>
      <c r="T40" s="129">
        <f>IF(OR(T39="ВД", T39="Р"), 8, IF(OR(T39="X", T39="Х"), "X", ""))</f>
        <v/>
      </c>
      <c r="U40" s="126" t="n"/>
      <c r="V40" s="113" t="n"/>
      <c r="W40" s="113" t="n"/>
      <c r="X40" s="113" t="n"/>
      <c r="Y40" s="113" t="n"/>
      <c r="Z40" s="113" t="n"/>
      <c r="AA40" s="114" t="n"/>
    </row>
    <row r="41" ht="14.65" customHeight="1" thickBot="1">
      <c r="A41" s="127" t="n">
        <v>1</v>
      </c>
      <c r="B41" s="127" t="inlineStr">
        <is>
          <t>Карман
В. Ю.</t>
        </is>
      </c>
      <c r="C41" s="128">
        <f>INT((ROW()-13)/4)+1</f>
        <v/>
      </c>
      <c r="D41" s="120" t="inlineStr">
        <is>
          <t>ч</t>
        </is>
      </c>
      <c r="E41" s="129" t="inlineStr">
        <is>
          <t>Р</t>
        </is>
      </c>
      <c r="F41" s="129" t="inlineStr">
        <is>
          <t>Р</t>
        </is>
      </c>
      <c r="G41" s="129" t="inlineStr">
        <is>
          <t>Р</t>
        </is>
      </c>
      <c r="H41" s="129" t="inlineStr">
        <is>
          <t>Р</t>
        </is>
      </c>
      <c r="I41" s="129" t="inlineStr">
        <is>
          <t>Р</t>
        </is>
      </c>
      <c r="J41" s="129" t="inlineStr">
        <is>
          <t>ВВ</t>
        </is>
      </c>
      <c r="K41" s="129" t="inlineStr">
        <is>
          <t>ВВ</t>
        </is>
      </c>
      <c r="L41" s="129" t="inlineStr">
        <is>
          <t>Р</t>
        </is>
      </c>
      <c r="M41" s="129" t="inlineStr">
        <is>
          <t>Р</t>
        </is>
      </c>
      <c r="N41" s="129" t="inlineStr">
        <is>
          <t>Р</t>
        </is>
      </c>
      <c r="O41" s="129" t="inlineStr">
        <is>
          <t>Р</t>
        </is>
      </c>
      <c r="P41" s="129" t="inlineStr">
        <is>
          <t>Р</t>
        </is>
      </c>
      <c r="Q41" s="129" t="inlineStr">
        <is>
          <t>ВВ</t>
        </is>
      </c>
      <c r="R41" s="129" t="inlineStr">
        <is>
          <t>ВВ</t>
        </is>
      </c>
      <c r="S41" s="129" t="inlineStr">
        <is>
          <t>Р</t>
        </is>
      </c>
      <c r="T41" s="130" t="inlineStr">
        <is>
          <t>X</t>
        </is>
      </c>
      <c r="U41" s="119">
        <f>IF(COUNT(E41:T44)=0, "", COUNT(E41:T44))</f>
        <v/>
      </c>
      <c r="V41" s="120">
        <f>IF(SUM(E41:T44)=0, "",SUM(E41:T44))</f>
        <v/>
      </c>
      <c r="W41" s="120" t="n"/>
      <c r="X41" s="120" t="n"/>
      <c r="Y41" s="120" t="n"/>
      <c r="Z41" s="120">
        <f t="array" ref="Z41">IF(SUM(COUNTIF(E41:T44, {"В";"ВП";"ДД";"НА"}))=0, "", SUM(COUNTIF(E41:T44, {"В";"ВП";"ДД";"НА"})))</f>
        <v/>
      </c>
      <c r="AA41" s="131">
        <f>IF(COUNTIF(E41:T44, "ВВ")=0, "", COUNTIF(E41:T44, "ВВ"))</f>
        <v/>
      </c>
    </row>
    <row r="42" ht="14.65" customHeight="1" thickBot="1">
      <c r="A42" s="108" t="n"/>
      <c r="B42" s="108" t="n"/>
      <c r="C42" s="122" t="n"/>
      <c r="D42" s="123" t="n"/>
      <c r="E42" s="129">
        <f>IF(OR(E41="ВД", E41="Р"), 8, IF(OR(E41="X", E41="Х"), "X", ""))</f>
        <v/>
      </c>
      <c r="F42" s="129">
        <f>IF(OR(F41="ВД", F41="Р"), 8, IF(OR(F41="X", F41="Х"), "X", ""))</f>
        <v/>
      </c>
      <c r="G42" s="129">
        <f>IF(OR(G41="ВД", G41="Р"), 8, IF(OR(G41="X", G41="Х"), "X", ""))</f>
        <v/>
      </c>
      <c r="H42" s="129">
        <f>IF(OR(H41="ВД", H41="Р"), 8, IF(OR(H41="X", H41="Х"), "X", ""))</f>
        <v/>
      </c>
      <c r="I42" s="129">
        <f>IF(OR(I41="ВД", I41="Р"), 8, IF(OR(I41="X", I41="Х"), "X", ""))</f>
        <v/>
      </c>
      <c r="J42" s="129">
        <f>IF(OR(J41="ВД", J41="Р"), 8, IF(OR(J41="X", J41="Х"), "X", ""))</f>
        <v/>
      </c>
      <c r="K42" s="129">
        <f>IF(OR(K41="ВД", K41="Р"), 8, IF(OR(K41="X", K41="Х"), "X", ""))</f>
        <v/>
      </c>
      <c r="L42" s="129">
        <f>IF(OR(L41="ВД", L41="Р"), 8, IF(OR(L41="X", L41="Х"), "X", ""))</f>
        <v/>
      </c>
      <c r="M42" s="129">
        <f>IF(OR(M41="ВД", M41="Р"), 8, IF(OR(M41="X", M41="Х"), "X", ""))</f>
        <v/>
      </c>
      <c r="N42" s="129">
        <f>IF(OR(N41="ВД", N41="Р"), 8, IF(OR(N41="X", N41="Х"), "X", ""))</f>
        <v/>
      </c>
      <c r="O42" s="129">
        <f>IF(OR(O41="ВД", O41="Р"), 8, IF(OR(O41="X", O41="Х"), "X", ""))</f>
        <v/>
      </c>
      <c r="P42" s="129">
        <f>IF(OR(P41="ВД", P41="Р"), 8, IF(OR(P41="X", P41="Х"), "X", ""))</f>
        <v/>
      </c>
      <c r="Q42" s="129">
        <f>IF(OR(Q41="ВД", Q41="Р"), 8, IF(OR(Q41="X", Q41="Х"), "X", ""))</f>
        <v/>
      </c>
      <c r="R42" s="129">
        <f>IF(OR(R41="ВД", R41="Р"), 8, IF(OR(R41="X", R41="Х"), "X", ""))</f>
        <v/>
      </c>
      <c r="S42" s="129">
        <f>IF(OR(S41="ВД", S41="Р"), 8, IF(OR(S41="X", S41="Х"), "X", ""))</f>
        <v/>
      </c>
      <c r="T42" s="129">
        <f>IF(OR(T41="ВД", T41="Р"), 8, IF(OR(T41="X", T41="Х"), "X", ""))</f>
        <v/>
      </c>
      <c r="U42" s="124" t="n"/>
      <c r="V42" s="123" t="n"/>
      <c r="W42" s="123" t="n"/>
      <c r="X42" s="123" t="n"/>
      <c r="Y42" s="123" t="n"/>
      <c r="Z42" s="123" t="n"/>
      <c r="AA42" s="125" t="n"/>
    </row>
    <row r="43">
      <c r="A43" s="108" t="n"/>
      <c r="B43" s="108" t="n"/>
      <c r="C43" s="122" t="n"/>
      <c r="D43" s="123" t="n"/>
      <c r="E43" s="129" t="inlineStr">
        <is>
          <t>Р</t>
        </is>
      </c>
      <c r="F43" s="129" t="inlineStr">
        <is>
          <t>Р</t>
        </is>
      </c>
      <c r="G43" s="129" t="inlineStr">
        <is>
          <t>ВД</t>
        </is>
      </c>
      <c r="H43" s="129" t="inlineStr">
        <is>
          <t>Р</t>
        </is>
      </c>
      <c r="I43" s="129" t="inlineStr">
        <is>
          <t>ВВ</t>
        </is>
      </c>
      <c r="J43" s="129" t="inlineStr">
        <is>
          <t>ВВ</t>
        </is>
      </c>
      <c r="K43" s="129" t="inlineStr">
        <is>
          <t>ВД</t>
        </is>
      </c>
      <c r="L43" s="129" t="inlineStr">
        <is>
          <t>ВД</t>
        </is>
      </c>
      <c r="M43" s="129" t="inlineStr">
        <is>
          <t>Р</t>
        </is>
      </c>
      <c r="N43" s="129" t="inlineStr">
        <is>
          <t>Р</t>
        </is>
      </c>
      <c r="O43" s="129" t="inlineStr">
        <is>
          <t>Р</t>
        </is>
      </c>
      <c r="P43" s="129" t="inlineStr">
        <is>
          <t>ВВ</t>
        </is>
      </c>
      <c r="Q43" s="129" t="inlineStr">
        <is>
          <t>ВВ</t>
        </is>
      </c>
      <c r="R43" s="129" t="inlineStr">
        <is>
          <t>Р</t>
        </is>
      </c>
      <c r="S43" s="129" t="inlineStr">
        <is>
          <t>Р</t>
        </is>
      </c>
      <c r="T43" s="130" t="inlineStr">
        <is>
          <t>X</t>
        </is>
      </c>
      <c r="U43" s="124" t="n"/>
      <c r="V43" s="123" t="n"/>
      <c r="W43" s="123" t="n"/>
      <c r="X43" s="123" t="n"/>
      <c r="Y43" s="123" t="n"/>
      <c r="Z43" s="123" t="n"/>
      <c r="AA43" s="125" t="n"/>
    </row>
    <row r="44">
      <c r="A44" s="115" t="n"/>
      <c r="B44" s="115" t="n"/>
      <c r="C44" s="112" t="n"/>
      <c r="D44" s="113" t="n"/>
      <c r="E44" s="129">
        <f>IF(OR(E43="ВД", E43="Р"), 8, IF(OR(E43="X", E43="Х"), "X", ""))</f>
        <v/>
      </c>
      <c r="F44" s="129">
        <f>IF(OR(F43="ВД", F43="Р"), 8, IF(OR(F43="X", F43="Х"), "X", ""))</f>
        <v/>
      </c>
      <c r="G44" s="129">
        <f>IF(OR(G43="ВД", G43="Р"), 8, IF(OR(G43="X", G43="Х"), "X", ""))</f>
        <v/>
      </c>
      <c r="H44" s="129">
        <f>IF(OR(H43="ВД", H43="Р"), 8, IF(OR(H43="X", H43="Х"), "X", ""))</f>
        <v/>
      </c>
      <c r="I44" s="129">
        <f>IF(OR(I43="ВД", I43="Р"), 8, IF(OR(I43="X", I43="Х"), "X", ""))</f>
        <v/>
      </c>
      <c r="J44" s="129">
        <f>IF(OR(J43="ВД", J43="Р"), 8, IF(OR(J43="X", J43="Х"), "X", ""))</f>
        <v/>
      </c>
      <c r="K44" s="129">
        <f>IF(OR(K43="ВД", K43="Р"), 8, IF(OR(K43="X", K43="Х"), "X", ""))</f>
        <v/>
      </c>
      <c r="L44" s="129">
        <f>IF(OR(L43="ВД", L43="Р"), 8, IF(OR(L43="X", L43="Х"), "X", ""))</f>
        <v/>
      </c>
      <c r="M44" s="129">
        <f>IF(OR(M43="ВД", M43="Р"), 8, IF(OR(M43="X", M43="Х"), "X", ""))</f>
        <v/>
      </c>
      <c r="N44" s="129">
        <f>IF(OR(N43="ВД", N43="Р"), 8, IF(OR(N43="X", N43="Х"), "X", ""))</f>
        <v/>
      </c>
      <c r="O44" s="129">
        <f>IF(OR(O43="ВД", O43="Р"), 8, IF(OR(O43="X", O43="Х"), "X", ""))</f>
        <v/>
      </c>
      <c r="P44" s="129">
        <f>IF(OR(P43="ВД", P43="Р"), 8, IF(OR(P43="X", P43="Х"), "X", ""))</f>
        <v/>
      </c>
      <c r="Q44" s="129">
        <f>IF(OR(Q43="ВД", Q43="Р"), 8, IF(OR(Q43="X", Q43="Х"), "X", ""))</f>
        <v/>
      </c>
      <c r="R44" s="129">
        <f>IF(OR(R43="ВД", R43="Р"), 8, IF(OR(R43="X", R43="Х"), "X", ""))</f>
        <v/>
      </c>
      <c r="S44" s="129">
        <f>IF(OR(S43="ВД", S43="Р"), 8, IF(OR(S43="X", S43="Х"), "X", ""))</f>
        <v/>
      </c>
      <c r="T44" s="129">
        <f>IF(OR(T43="ВД", T43="Р"), 8, IF(OR(T43="X", T43="Х"), "X", ""))</f>
        <v/>
      </c>
      <c r="U44" s="126" t="n"/>
      <c r="V44" s="113" t="n"/>
      <c r="W44" s="113" t="n"/>
      <c r="X44" s="113" t="n"/>
      <c r="Y44" s="113" t="n"/>
      <c r="Z44" s="113" t="n"/>
      <c r="AA44" s="114" t="n"/>
    </row>
    <row r="45">
      <c r="A45" s="127" t="n">
        <v>1</v>
      </c>
      <c r="B45" s="127" t="inlineStr">
        <is>
          <t>Карман
В.</t>
        </is>
      </c>
      <c r="C45" s="128">
        <f>INT((ROW()-13)/4)+1</f>
        <v/>
      </c>
      <c r="D45" s="120" t="inlineStr">
        <is>
          <t>ч</t>
        </is>
      </c>
      <c r="E45" s="129" t="inlineStr">
        <is>
          <t>Р</t>
        </is>
      </c>
      <c r="F45" s="129" t="inlineStr">
        <is>
          <t>Р</t>
        </is>
      </c>
      <c r="G45" s="129" t="inlineStr">
        <is>
          <t>Р</t>
        </is>
      </c>
      <c r="H45" s="129" t="inlineStr">
        <is>
          <t>Р</t>
        </is>
      </c>
      <c r="I45" s="129" t="inlineStr">
        <is>
          <t>Р</t>
        </is>
      </c>
      <c r="J45" s="129" t="inlineStr">
        <is>
          <t>ВВ</t>
        </is>
      </c>
      <c r="K45" s="129" t="inlineStr">
        <is>
          <t>ВВ</t>
        </is>
      </c>
      <c r="L45" s="129" t="inlineStr">
        <is>
          <t>Р</t>
        </is>
      </c>
      <c r="M45" s="129" t="inlineStr">
        <is>
          <t>Р</t>
        </is>
      </c>
      <c r="N45" s="129" t="inlineStr">
        <is>
          <t>Р</t>
        </is>
      </c>
      <c r="O45" s="129" t="inlineStr">
        <is>
          <t>Р</t>
        </is>
      </c>
      <c r="P45" s="129" t="inlineStr">
        <is>
          <t>Р</t>
        </is>
      </c>
      <c r="Q45" s="129" t="inlineStr">
        <is>
          <t>ВВ</t>
        </is>
      </c>
      <c r="R45" s="129" t="inlineStr">
        <is>
          <t>ВВ</t>
        </is>
      </c>
      <c r="S45" s="129" t="inlineStr">
        <is>
          <t>Р</t>
        </is>
      </c>
      <c r="T45" s="130" t="inlineStr">
        <is>
          <t>X</t>
        </is>
      </c>
      <c r="U45" s="119">
        <f>IF(COUNT(E45:T48)=0, "", COUNT(E45:T48))</f>
        <v/>
      </c>
      <c r="V45" s="120">
        <f>IF(SUM(E45:T48)=0, "",SUM(E45:T48))</f>
        <v/>
      </c>
      <c r="W45" s="120" t="n"/>
      <c r="X45" s="120" t="n"/>
      <c r="Y45" s="120" t="n"/>
      <c r="Z45" s="120">
        <f t="array" ref="Z45">IF(SUM(COUNTIF(E45:T48, {"В";"ВП";"ДД";"НА"}))=0, "", SUM(COUNTIF(E45:T48, {"В";"ВП";"ДД";"НА"})))</f>
        <v/>
      </c>
      <c r="AA45" s="131">
        <f>IF(COUNTIF(E45:T48, "ВВ")=0, "", COUNTIF(E45:T48, "ВВ"))</f>
        <v/>
      </c>
    </row>
    <row r="46">
      <c r="A46" s="108" t="n"/>
      <c r="B46" s="108" t="n"/>
      <c r="C46" s="122" t="n"/>
      <c r="D46" s="123" t="n"/>
      <c r="E46" s="129">
        <f>IF(OR(E45="ВД", E45="Р"), 8, IF(OR(E45="X", E45="Х"), "X", ""))</f>
        <v/>
      </c>
      <c r="F46" s="129">
        <f>IF(OR(F45="ВД", F45="Р"), 8, IF(OR(F45="X", F45="Х"), "X", ""))</f>
        <v/>
      </c>
      <c r="G46" s="129">
        <f>IF(OR(G45="ВД", G45="Р"), 8, IF(OR(G45="X", G45="Х"), "X", ""))</f>
        <v/>
      </c>
      <c r="H46" s="129">
        <f>IF(OR(H45="ВД", H45="Р"), 8, IF(OR(H45="X", H45="Х"), "X", ""))</f>
        <v/>
      </c>
      <c r="I46" s="129">
        <f>IF(OR(I45="ВД", I45="Р"), 8, IF(OR(I45="X", I45="Х"), "X", ""))</f>
        <v/>
      </c>
      <c r="J46" s="129">
        <f>IF(OR(J45="ВД", J45="Р"), 8, IF(OR(J45="X", J45="Х"), "X", ""))</f>
        <v/>
      </c>
      <c r="K46" s="129">
        <f>IF(OR(K45="ВД", K45="Р"), 8, IF(OR(K45="X", K45="Х"), "X", ""))</f>
        <v/>
      </c>
      <c r="L46" s="129">
        <f>IF(OR(L45="ВД", L45="Р"), 8, IF(OR(L45="X", L45="Х"), "X", ""))</f>
        <v/>
      </c>
      <c r="M46" s="129">
        <f>IF(OR(M45="ВД", M45="Р"), 8, IF(OR(M45="X", M45="Х"), "X", ""))</f>
        <v/>
      </c>
      <c r="N46" s="129">
        <f>IF(OR(N45="ВД", N45="Р"), 8, IF(OR(N45="X", N45="Х"), "X", ""))</f>
        <v/>
      </c>
      <c r="O46" s="129">
        <f>IF(OR(O45="ВД", O45="Р"), 8, IF(OR(O45="X", O45="Х"), "X", ""))</f>
        <v/>
      </c>
      <c r="P46" s="129">
        <f>IF(OR(P45="ВД", P45="Р"), 8, IF(OR(P45="X", P45="Х"), "X", ""))</f>
        <v/>
      </c>
      <c r="Q46" s="129">
        <f>IF(OR(Q45="ВД", Q45="Р"), 8, IF(OR(Q45="X", Q45="Х"), "X", ""))</f>
        <v/>
      </c>
      <c r="R46" s="129">
        <f>IF(OR(R45="ВД", R45="Р"), 8, IF(OR(R45="X", R45="Х"), "X", ""))</f>
        <v/>
      </c>
      <c r="S46" s="129">
        <f>IF(OR(S45="ВД", S45="Р"), 8, IF(OR(S45="X", S45="Х"), "X", ""))</f>
        <v/>
      </c>
      <c r="T46" s="129">
        <f>IF(OR(T45="ВД", T45="Р"), 8, IF(OR(T45="X", T45="Х"), "X", ""))</f>
        <v/>
      </c>
      <c r="U46" s="124" t="n"/>
      <c r="V46" s="123" t="n"/>
      <c r="W46" s="123" t="n"/>
      <c r="X46" s="123" t="n"/>
      <c r="Y46" s="123" t="n"/>
      <c r="Z46" s="123" t="n"/>
      <c r="AA46" s="125" t="n"/>
    </row>
    <row r="47">
      <c r="A47" s="108" t="n"/>
      <c r="B47" s="108" t="n"/>
      <c r="C47" s="122" t="n"/>
      <c r="D47" s="123" t="n"/>
      <c r="E47" s="129" t="inlineStr">
        <is>
          <t>Р</t>
        </is>
      </c>
      <c r="F47" s="129" t="inlineStr">
        <is>
          <t>Р</t>
        </is>
      </c>
      <c r="G47" s="129" t="inlineStr">
        <is>
          <t>Р</t>
        </is>
      </c>
      <c r="H47" s="129" t="inlineStr">
        <is>
          <t>ВД</t>
        </is>
      </c>
      <c r="I47" s="129" t="inlineStr">
        <is>
          <t>ВВ</t>
        </is>
      </c>
      <c r="J47" s="129" t="inlineStr">
        <is>
          <t>ВВ</t>
        </is>
      </c>
      <c r="K47" s="129" t="inlineStr">
        <is>
          <t>Р</t>
        </is>
      </c>
      <c r="L47" s="129" t="inlineStr">
        <is>
          <t>Р</t>
        </is>
      </c>
      <c r="M47" s="129" t="inlineStr">
        <is>
          <t>Р</t>
        </is>
      </c>
      <c r="N47" s="129" t="inlineStr">
        <is>
          <t>Р</t>
        </is>
      </c>
      <c r="O47" s="129" t="inlineStr">
        <is>
          <t>Р</t>
        </is>
      </c>
      <c r="P47" s="129" t="inlineStr">
        <is>
          <t>ВВ</t>
        </is>
      </c>
      <c r="Q47" s="129" t="inlineStr">
        <is>
          <t>ВВ</t>
        </is>
      </c>
      <c r="R47" s="129" t="inlineStr">
        <is>
          <t>Р</t>
        </is>
      </c>
      <c r="S47" s="129" t="inlineStr">
        <is>
          <t>Р</t>
        </is>
      </c>
      <c r="T47" s="130" t="inlineStr">
        <is>
          <t>X</t>
        </is>
      </c>
      <c r="U47" s="124" t="n"/>
      <c r="V47" s="123" t="n"/>
      <c r="W47" s="123" t="n"/>
      <c r="X47" s="123" t="n"/>
      <c r="Y47" s="123" t="n"/>
      <c r="Z47" s="123" t="n"/>
      <c r="AA47" s="125" t="n"/>
    </row>
    <row r="48">
      <c r="A48" s="115" t="n"/>
      <c r="B48" s="115" t="n"/>
      <c r="C48" s="112" t="n"/>
      <c r="D48" s="113" t="n"/>
      <c r="E48" s="129">
        <f>IF(OR(E47="ВД", E47="Р"), 8, IF(OR(E47="X", E47="Х"), "X", ""))</f>
        <v/>
      </c>
      <c r="F48" s="129">
        <f>IF(OR(F47="ВД", F47="Р"), 8, IF(OR(F47="X", F47="Х"), "X", ""))</f>
        <v/>
      </c>
      <c r="G48" s="129">
        <f>IF(OR(G47="ВД", G47="Р"), 8, IF(OR(G47="X", G47="Х"), "X", ""))</f>
        <v/>
      </c>
      <c r="H48" s="129">
        <f>IF(OR(H47="ВД", H47="Р"), 8, IF(OR(H47="X", H47="Х"), "X", ""))</f>
        <v/>
      </c>
      <c r="I48" s="129">
        <f>IF(OR(I47="ВД", I47="Р"), 8, IF(OR(I47="X", I47="Х"), "X", ""))</f>
        <v/>
      </c>
      <c r="J48" s="129">
        <f>IF(OR(J47="ВД", J47="Р"), 8, IF(OR(J47="X", J47="Х"), "X", ""))</f>
        <v/>
      </c>
      <c r="K48" s="129">
        <f>IF(OR(K47="ВД", K47="Р"), 8, IF(OR(K47="X", K47="Х"), "X", ""))</f>
        <v/>
      </c>
      <c r="L48" s="129">
        <f>IF(OR(L47="ВД", L47="Р"), 8, IF(OR(L47="X", L47="Х"), "X", ""))</f>
        <v/>
      </c>
      <c r="M48" s="129">
        <f>IF(OR(M47="ВД", M47="Р"), 8, IF(OR(M47="X", M47="Х"), "X", ""))</f>
        <v/>
      </c>
      <c r="N48" s="129">
        <f>IF(OR(N47="ВД", N47="Р"), 8, IF(OR(N47="X", N47="Х"), "X", ""))</f>
        <v/>
      </c>
      <c r="O48" s="129">
        <f>IF(OR(O47="ВД", O47="Р"), 8, IF(OR(O47="X", O47="Х"), "X", ""))</f>
        <v/>
      </c>
      <c r="P48" s="129">
        <f>IF(OR(P47="ВД", P47="Р"), 8, IF(OR(P47="X", P47="Х"), "X", ""))</f>
        <v/>
      </c>
      <c r="Q48" s="129">
        <f>IF(OR(Q47="ВД", Q47="Р"), 8, IF(OR(Q47="X", Q47="Х"), "X", ""))</f>
        <v/>
      </c>
      <c r="R48" s="129">
        <f>IF(OR(R47="ВД", R47="Р"), 8, IF(OR(R47="X", R47="Х"), "X", ""))</f>
        <v/>
      </c>
      <c r="S48" s="129">
        <f>IF(OR(S47="ВД", S47="Р"), 8, IF(OR(S47="X", S47="Х"), "X", ""))</f>
        <v/>
      </c>
      <c r="T48" s="129">
        <f>IF(OR(T47="ВД", T47="Р"), 8, IF(OR(T47="X", T47="Х"), "X", ""))</f>
        <v/>
      </c>
      <c r="U48" s="126" t="n"/>
      <c r="V48" s="113" t="n"/>
      <c r="W48" s="113" t="n"/>
      <c r="X48" s="113" t="n"/>
      <c r="Y48" s="113" t="n"/>
      <c r="Z48" s="113" t="n"/>
      <c r="AA48" s="114" t="n"/>
    </row>
    <row r="49">
      <c r="A49" s="127" t="n">
        <v>1</v>
      </c>
      <c r="B49" s="127" t="inlineStr">
        <is>
          <t>Лазарчук
О.</t>
        </is>
      </c>
      <c r="C49" s="128">
        <f>INT((ROW()-13)/4)+1</f>
        <v/>
      </c>
      <c r="D49" s="120" t="inlineStr">
        <is>
          <t>ч</t>
        </is>
      </c>
      <c r="E49" s="129" t="inlineStr">
        <is>
          <t>Р</t>
        </is>
      </c>
      <c r="F49" s="129" t="inlineStr">
        <is>
          <t>Р</t>
        </is>
      </c>
      <c r="G49" s="129" t="inlineStr">
        <is>
          <t>Р</t>
        </is>
      </c>
      <c r="H49" s="129" t="inlineStr">
        <is>
          <t>Р</t>
        </is>
      </c>
      <c r="I49" s="129" t="inlineStr">
        <is>
          <t>Р</t>
        </is>
      </c>
      <c r="J49" s="129" t="inlineStr">
        <is>
          <t>ВВ</t>
        </is>
      </c>
      <c r="K49" s="129" t="inlineStr">
        <is>
          <t>ВВ</t>
        </is>
      </c>
      <c r="L49" s="129" t="inlineStr">
        <is>
          <t>Р</t>
        </is>
      </c>
      <c r="M49" s="129" t="inlineStr">
        <is>
          <t>Р</t>
        </is>
      </c>
      <c r="N49" s="129" t="inlineStr">
        <is>
          <t>Р</t>
        </is>
      </c>
      <c r="O49" s="129" t="inlineStr">
        <is>
          <t>Р</t>
        </is>
      </c>
      <c r="P49" s="129" t="inlineStr">
        <is>
          <t>Р</t>
        </is>
      </c>
      <c r="Q49" s="129" t="inlineStr">
        <is>
          <t>ВВ</t>
        </is>
      </c>
      <c r="R49" s="129" t="inlineStr">
        <is>
          <t>ВВ</t>
        </is>
      </c>
      <c r="S49" s="129" t="inlineStr">
        <is>
          <t>Р</t>
        </is>
      </c>
      <c r="T49" s="130" t="inlineStr">
        <is>
          <t>X</t>
        </is>
      </c>
      <c r="U49" s="119">
        <f>IF(COUNT(E49:T52)=0, "", COUNT(E49:T52))</f>
        <v/>
      </c>
      <c r="V49" s="120">
        <f>IF(SUM(E49:T52)=0, "",SUM(E49:T52))</f>
        <v/>
      </c>
      <c r="W49" s="120" t="n"/>
      <c r="X49" s="120" t="n"/>
      <c r="Y49" s="120" t="n"/>
      <c r="Z49" s="120">
        <f t="array" ref="Z49">IF(SUM(COUNTIF(E49:T52, {"В";"ВП";"ДД";"НА"}))=0, "", SUM(COUNTIF(E49:T52, {"В";"ВП";"ДД";"НА"})))</f>
        <v/>
      </c>
      <c r="AA49" s="131">
        <f>IF(COUNTIF(E49:T52, "ВВ")=0, "", COUNTIF(E49:T52, "ВВ"))</f>
        <v/>
      </c>
    </row>
    <row r="50">
      <c r="A50" s="108" t="n"/>
      <c r="B50" s="108" t="n"/>
      <c r="C50" s="122" t="n"/>
      <c r="D50" s="123" t="n"/>
      <c r="E50" s="129">
        <f>IF(OR(E49="ВД", E49="Р"), 8, IF(OR(E49="X", E49="Х"), "X", ""))</f>
        <v/>
      </c>
      <c r="F50" s="129">
        <f>IF(OR(F49="ВД", F49="Р"), 8, IF(OR(F49="X", F49="Х"), "X", ""))</f>
        <v/>
      </c>
      <c r="G50" s="129">
        <f>IF(OR(G49="ВД", G49="Р"), 8, IF(OR(G49="X", G49="Х"), "X", ""))</f>
        <v/>
      </c>
      <c r="H50" s="129">
        <f>IF(OR(H49="ВД", H49="Р"), 8, IF(OR(H49="X", H49="Х"), "X", ""))</f>
        <v/>
      </c>
      <c r="I50" s="129">
        <f>IF(OR(I49="ВД", I49="Р"), 8, IF(OR(I49="X", I49="Х"), "X", ""))</f>
        <v/>
      </c>
      <c r="J50" s="129">
        <f>IF(OR(J49="ВД", J49="Р"), 8, IF(OR(J49="X", J49="Х"), "X", ""))</f>
        <v/>
      </c>
      <c r="K50" s="129">
        <f>IF(OR(K49="ВД", K49="Р"), 8, IF(OR(K49="X", K49="Х"), "X", ""))</f>
        <v/>
      </c>
      <c r="L50" s="129">
        <f>IF(OR(L49="ВД", L49="Р"), 8, IF(OR(L49="X", L49="Х"), "X", ""))</f>
        <v/>
      </c>
      <c r="M50" s="129">
        <f>IF(OR(M49="ВД", M49="Р"), 8, IF(OR(M49="X", M49="Х"), "X", ""))</f>
        <v/>
      </c>
      <c r="N50" s="129">
        <f>IF(OR(N49="ВД", N49="Р"), 8, IF(OR(N49="X", N49="Х"), "X", ""))</f>
        <v/>
      </c>
      <c r="O50" s="129">
        <f>IF(OR(O49="ВД", O49="Р"), 8, IF(OR(O49="X", O49="Х"), "X", ""))</f>
        <v/>
      </c>
      <c r="P50" s="129">
        <f>IF(OR(P49="ВД", P49="Р"), 8, IF(OR(P49="X", P49="Х"), "X", ""))</f>
        <v/>
      </c>
      <c r="Q50" s="129">
        <f>IF(OR(Q49="ВД", Q49="Р"), 8, IF(OR(Q49="X", Q49="Х"), "X", ""))</f>
        <v/>
      </c>
      <c r="R50" s="129">
        <f>IF(OR(R49="ВД", R49="Р"), 8, IF(OR(R49="X", R49="Х"), "X", ""))</f>
        <v/>
      </c>
      <c r="S50" s="129">
        <f>IF(OR(S49="ВД", S49="Р"), 8, IF(OR(S49="X", S49="Х"), "X", ""))</f>
        <v/>
      </c>
      <c r="T50" s="129">
        <f>IF(OR(T49="ВД", T49="Р"), 8, IF(OR(T49="X", T49="Х"), "X", ""))</f>
        <v/>
      </c>
      <c r="U50" s="124" t="n"/>
      <c r="V50" s="123" t="n"/>
      <c r="W50" s="123" t="n"/>
      <c r="X50" s="123" t="n"/>
      <c r="Y50" s="123" t="n"/>
      <c r="Z50" s="123" t="n"/>
      <c r="AA50" s="125" t="n"/>
    </row>
    <row r="51">
      <c r="A51" s="108" t="n"/>
      <c r="B51" s="108" t="n"/>
      <c r="C51" s="122" t="n"/>
      <c r="D51" s="123" t="n"/>
      <c r="E51" s="129" t="inlineStr">
        <is>
          <t>ВД</t>
        </is>
      </c>
      <c r="F51" s="129" t="inlineStr">
        <is>
          <t>ВД</t>
        </is>
      </c>
      <c r="G51" s="129" t="inlineStr">
        <is>
          <t>ВД</t>
        </is>
      </c>
      <c r="H51" s="129" t="inlineStr">
        <is>
          <t>ВД</t>
        </is>
      </c>
      <c r="I51" s="129" t="inlineStr">
        <is>
          <t>ВД</t>
        </is>
      </c>
      <c r="J51" s="129" t="inlineStr">
        <is>
          <t>ВВ</t>
        </is>
      </c>
      <c r="K51" s="129" t="inlineStr">
        <is>
          <t>ВД</t>
        </is>
      </c>
      <c r="L51" s="129" t="inlineStr">
        <is>
          <t>ВД</t>
        </is>
      </c>
      <c r="M51" s="129" t="inlineStr">
        <is>
          <t>ВД</t>
        </is>
      </c>
      <c r="N51" s="129" t="inlineStr">
        <is>
          <t>Р</t>
        </is>
      </c>
      <c r="O51" s="129" t="inlineStr">
        <is>
          <t>Р</t>
        </is>
      </c>
      <c r="P51" s="129" t="inlineStr">
        <is>
          <t>ВВ</t>
        </is>
      </c>
      <c r="Q51" s="129" t="inlineStr">
        <is>
          <t>ВВ</t>
        </is>
      </c>
      <c r="R51" s="129" t="inlineStr">
        <is>
          <t>Р</t>
        </is>
      </c>
      <c r="S51" s="129" t="inlineStr">
        <is>
          <t>Р</t>
        </is>
      </c>
      <c r="T51" s="130" t="inlineStr">
        <is>
          <t>X</t>
        </is>
      </c>
      <c r="U51" s="124" t="n"/>
      <c r="V51" s="123" t="n"/>
      <c r="W51" s="123" t="n"/>
      <c r="X51" s="123" t="n"/>
      <c r="Y51" s="123" t="n"/>
      <c r="Z51" s="123" t="n"/>
      <c r="AA51" s="125" t="n"/>
    </row>
    <row r="52">
      <c r="A52" s="115" t="n"/>
      <c r="B52" s="115" t="n"/>
      <c r="C52" s="112" t="n"/>
      <c r="D52" s="113" t="n"/>
      <c r="E52" s="129">
        <f>IF(OR(E51="ВД", E51="Р"), 8, IF(OR(E51="X", E51="Х"), "X", ""))</f>
        <v/>
      </c>
      <c r="F52" s="129">
        <f>IF(OR(F51="ВД", F51="Р"), 8, IF(OR(F51="X", F51="Х"), "X", ""))</f>
        <v/>
      </c>
      <c r="G52" s="129">
        <f>IF(OR(G51="ВД", G51="Р"), 8, IF(OR(G51="X", G51="Х"), "X", ""))</f>
        <v/>
      </c>
      <c r="H52" s="129">
        <f>IF(OR(H51="ВД", H51="Р"), 8, IF(OR(H51="X", H51="Х"), "X", ""))</f>
        <v/>
      </c>
      <c r="I52" s="129">
        <f>IF(OR(I51="ВД", I51="Р"), 8, IF(OR(I51="X", I51="Х"), "X", ""))</f>
        <v/>
      </c>
      <c r="J52" s="129">
        <f>IF(OR(J51="ВД", J51="Р"), 8, IF(OR(J51="X", J51="Х"), "X", ""))</f>
        <v/>
      </c>
      <c r="K52" s="129">
        <f>IF(OR(K51="ВД", K51="Р"), 8, IF(OR(K51="X", K51="Х"), "X", ""))</f>
        <v/>
      </c>
      <c r="L52" s="129">
        <f>IF(OR(L51="ВД", L51="Р"), 8, IF(OR(L51="X", L51="Х"), "X", ""))</f>
        <v/>
      </c>
      <c r="M52" s="129">
        <f>IF(OR(M51="ВД", M51="Р"), 8, IF(OR(M51="X", M51="Х"), "X", ""))</f>
        <v/>
      </c>
      <c r="N52" s="129">
        <f>IF(OR(N51="ВД", N51="Р"), 8, IF(OR(N51="X", N51="Х"), "X", ""))</f>
        <v/>
      </c>
      <c r="O52" s="129">
        <f>IF(OR(O51="ВД", O51="Р"), 8, IF(OR(O51="X", O51="Х"), "X", ""))</f>
        <v/>
      </c>
      <c r="P52" s="129">
        <f>IF(OR(P51="ВД", P51="Р"), 8, IF(OR(P51="X", P51="Х"), "X", ""))</f>
        <v/>
      </c>
      <c r="Q52" s="129">
        <f>IF(OR(Q51="ВД", Q51="Р"), 8, IF(OR(Q51="X", Q51="Х"), "X", ""))</f>
        <v/>
      </c>
      <c r="R52" s="129">
        <f>IF(OR(R51="ВД", R51="Р"), 8, IF(OR(R51="X", R51="Х"), "X", ""))</f>
        <v/>
      </c>
      <c r="S52" s="129">
        <f>IF(OR(S51="ВД", S51="Р"), 8, IF(OR(S51="X", S51="Х"), "X", ""))</f>
        <v/>
      </c>
      <c r="T52" s="129">
        <f>IF(OR(T51="ВД", T51="Р"), 8, IF(OR(T51="X", T51="Х"), "X", ""))</f>
        <v/>
      </c>
      <c r="U52" s="126" t="n"/>
      <c r="V52" s="113" t="n"/>
      <c r="W52" s="113" t="n"/>
      <c r="X52" s="113" t="n"/>
      <c r="Y52" s="113" t="n"/>
      <c r="Z52" s="113" t="n"/>
      <c r="AA52" s="114" t="n"/>
    </row>
    <row r="53">
      <c r="A53" s="127" t="n">
        <v>1</v>
      </c>
      <c r="B53" s="127" t="inlineStr">
        <is>
          <t>Липа
А.</t>
        </is>
      </c>
      <c r="C53" s="128">
        <f>INT((ROW()-13)/4)+1</f>
        <v/>
      </c>
      <c r="D53" s="120" t="inlineStr">
        <is>
          <t>ч</t>
        </is>
      </c>
      <c r="E53" s="129" t="inlineStr">
        <is>
          <t>Р</t>
        </is>
      </c>
      <c r="F53" s="129" t="inlineStr">
        <is>
          <t>Р</t>
        </is>
      </c>
      <c r="G53" s="129" t="inlineStr">
        <is>
          <t>Р</t>
        </is>
      </c>
      <c r="H53" s="129" t="inlineStr">
        <is>
          <t>Р</t>
        </is>
      </c>
      <c r="I53" s="129" t="inlineStr">
        <is>
          <t>Р</t>
        </is>
      </c>
      <c r="J53" s="129" t="inlineStr">
        <is>
          <t>ВВ</t>
        </is>
      </c>
      <c r="K53" s="129" t="inlineStr">
        <is>
          <t>ВВ</t>
        </is>
      </c>
      <c r="L53" s="129" t="inlineStr">
        <is>
          <t>Р</t>
        </is>
      </c>
      <c r="M53" s="129" t="inlineStr">
        <is>
          <t>Р</t>
        </is>
      </c>
      <c r="N53" s="129" t="inlineStr">
        <is>
          <t>Р</t>
        </is>
      </c>
      <c r="O53" s="129" t="inlineStr">
        <is>
          <t>Р</t>
        </is>
      </c>
      <c r="P53" s="129" t="inlineStr">
        <is>
          <t>Р</t>
        </is>
      </c>
      <c r="Q53" s="129" t="inlineStr">
        <is>
          <t>ВВ</t>
        </is>
      </c>
      <c r="R53" s="129" t="inlineStr">
        <is>
          <t>ВВ</t>
        </is>
      </c>
      <c r="S53" s="129" t="inlineStr">
        <is>
          <t>Р</t>
        </is>
      </c>
      <c r="T53" s="130" t="inlineStr">
        <is>
          <t>X</t>
        </is>
      </c>
      <c r="U53" s="119">
        <f>IF(COUNT(E53:T56)=0, "", COUNT(E53:T56))</f>
        <v/>
      </c>
      <c r="V53" s="120">
        <f>IF(SUM(E53:T56)=0, "",SUM(E53:T56))</f>
        <v/>
      </c>
      <c r="W53" s="120" t="n"/>
      <c r="X53" s="120" t="n"/>
      <c r="Y53" s="120" t="n"/>
      <c r="Z53" s="120">
        <f t="array" ref="Z53">IF(SUM(COUNTIF(E53:T56, {"В";"ВП";"ДД";"НА"}))=0, "", SUM(COUNTIF(E53:T56, {"В";"ВП";"ДД";"НА"})))</f>
        <v/>
      </c>
      <c r="AA53" s="131">
        <f>IF(COUNTIF(E53:T56, "ВВ")=0, "", COUNTIF(E53:T56, "ВВ"))</f>
        <v/>
      </c>
    </row>
    <row r="54">
      <c r="A54" s="108" t="n"/>
      <c r="B54" s="108" t="n"/>
      <c r="C54" s="122" t="n"/>
      <c r="D54" s="123" t="n"/>
      <c r="E54" s="129">
        <f>IF(OR(E53="ВД", E53="Р"), 8, IF(OR(E53="X", E53="Х"), "X", ""))</f>
        <v/>
      </c>
      <c r="F54" s="129">
        <f>IF(OR(F53="ВД", F53="Р"), 8, IF(OR(F53="X", F53="Х"), "X", ""))</f>
        <v/>
      </c>
      <c r="G54" s="129">
        <f>IF(OR(G53="ВД", G53="Р"), 8, IF(OR(G53="X", G53="Х"), "X", ""))</f>
        <v/>
      </c>
      <c r="H54" s="129">
        <f>IF(OR(H53="ВД", H53="Р"), 8, IF(OR(H53="X", H53="Х"), "X", ""))</f>
        <v/>
      </c>
      <c r="I54" s="129">
        <f>IF(OR(I53="ВД", I53="Р"), 8, IF(OR(I53="X", I53="Х"), "X", ""))</f>
        <v/>
      </c>
      <c r="J54" s="129">
        <f>IF(OR(J53="ВД", J53="Р"), 8, IF(OR(J53="X", J53="Х"), "X", ""))</f>
        <v/>
      </c>
      <c r="K54" s="129">
        <f>IF(OR(K53="ВД", K53="Р"), 8, IF(OR(K53="X", K53="Х"), "X", ""))</f>
        <v/>
      </c>
      <c r="L54" s="129">
        <f>IF(OR(L53="ВД", L53="Р"), 8, IF(OR(L53="X", L53="Х"), "X", ""))</f>
        <v/>
      </c>
      <c r="M54" s="129">
        <f>IF(OR(M53="ВД", M53="Р"), 8, IF(OR(M53="X", M53="Х"), "X", ""))</f>
        <v/>
      </c>
      <c r="N54" s="129">
        <f>IF(OR(N53="ВД", N53="Р"), 8, IF(OR(N53="X", N53="Х"), "X", ""))</f>
        <v/>
      </c>
      <c r="O54" s="129">
        <f>IF(OR(O53="ВД", O53="Р"), 8, IF(OR(O53="X", O53="Х"), "X", ""))</f>
        <v/>
      </c>
      <c r="P54" s="129">
        <f>IF(OR(P53="ВД", P53="Р"), 8, IF(OR(P53="X", P53="Х"), "X", ""))</f>
        <v/>
      </c>
      <c r="Q54" s="129">
        <f>IF(OR(Q53="ВД", Q53="Р"), 8, IF(OR(Q53="X", Q53="Х"), "X", ""))</f>
        <v/>
      </c>
      <c r="R54" s="129">
        <f>IF(OR(R53="ВД", R53="Р"), 8, IF(OR(R53="X", R53="Х"), "X", ""))</f>
        <v/>
      </c>
      <c r="S54" s="129">
        <f>IF(OR(S53="ВД", S53="Р"), 8, IF(OR(S53="X", S53="Х"), "X", ""))</f>
        <v/>
      </c>
      <c r="T54" s="129">
        <f>IF(OR(T53="ВД", T53="Р"), 8, IF(OR(T53="X", T53="Х"), "X", ""))</f>
        <v/>
      </c>
      <c r="U54" s="124" t="n"/>
      <c r="V54" s="123" t="n"/>
      <c r="W54" s="123" t="n"/>
      <c r="X54" s="123" t="n"/>
      <c r="Y54" s="123" t="n"/>
      <c r="Z54" s="123" t="n"/>
      <c r="AA54" s="125" t="n"/>
    </row>
    <row r="55">
      <c r="A55" s="108" t="n"/>
      <c r="B55" s="108" t="n"/>
      <c r="C55" s="122" t="n"/>
      <c r="D55" s="123" t="n"/>
      <c r="E55" s="129" t="inlineStr">
        <is>
          <t>Р</t>
        </is>
      </c>
      <c r="F55" s="129" t="inlineStr">
        <is>
          <t>Р</t>
        </is>
      </c>
      <c r="G55" s="129" t="inlineStr">
        <is>
          <t>Р</t>
        </is>
      </c>
      <c r="H55" s="129" t="inlineStr">
        <is>
          <t>ВД</t>
        </is>
      </c>
      <c r="I55" s="129" t="inlineStr">
        <is>
          <t>ВД</t>
        </is>
      </c>
      <c r="J55" s="129" t="inlineStr">
        <is>
          <t>ВВ</t>
        </is>
      </c>
      <c r="K55" s="129" t="inlineStr">
        <is>
          <t>Р</t>
        </is>
      </c>
      <c r="L55" s="129" t="inlineStr">
        <is>
          <t>Р</t>
        </is>
      </c>
      <c r="M55" s="129" t="inlineStr">
        <is>
          <t>Р</t>
        </is>
      </c>
      <c r="N55" s="129" t="inlineStr">
        <is>
          <t>Р</t>
        </is>
      </c>
      <c r="O55" s="129" t="inlineStr">
        <is>
          <t>Р</t>
        </is>
      </c>
      <c r="P55" s="129" t="inlineStr">
        <is>
          <t>ВВ</t>
        </is>
      </c>
      <c r="Q55" s="129" t="inlineStr">
        <is>
          <t>ВВ</t>
        </is>
      </c>
      <c r="R55" s="129" t="inlineStr">
        <is>
          <t>Р</t>
        </is>
      </c>
      <c r="S55" s="129" t="inlineStr">
        <is>
          <t>Р</t>
        </is>
      </c>
      <c r="T55" s="130" t="inlineStr">
        <is>
          <t>X</t>
        </is>
      </c>
      <c r="U55" s="124" t="n"/>
      <c r="V55" s="123" t="n"/>
      <c r="W55" s="123" t="n"/>
      <c r="X55" s="123" t="n"/>
      <c r="Y55" s="123" t="n"/>
      <c r="Z55" s="123" t="n"/>
      <c r="AA55" s="125" t="n"/>
    </row>
    <row r="56">
      <c r="A56" s="115" t="n"/>
      <c r="B56" s="115" t="n"/>
      <c r="C56" s="112" t="n"/>
      <c r="D56" s="113" t="n"/>
      <c r="E56" s="129">
        <f>IF(OR(E55="ВД", E55="Р"), 8, IF(OR(E55="X", E55="Х"), "X", ""))</f>
        <v/>
      </c>
      <c r="F56" s="129">
        <f>IF(OR(F55="ВД", F55="Р"), 8, IF(OR(F55="X", F55="Х"), "X", ""))</f>
        <v/>
      </c>
      <c r="G56" s="129">
        <f>IF(OR(G55="ВД", G55="Р"), 8, IF(OR(G55="X", G55="Х"), "X", ""))</f>
        <v/>
      </c>
      <c r="H56" s="129">
        <f>IF(OR(H55="ВД", H55="Р"), 8, IF(OR(H55="X", H55="Х"), "X", ""))</f>
        <v/>
      </c>
      <c r="I56" s="129">
        <f>IF(OR(I55="ВД", I55="Р"), 8, IF(OR(I55="X", I55="Х"), "X", ""))</f>
        <v/>
      </c>
      <c r="J56" s="129">
        <f>IF(OR(J55="ВД", J55="Р"), 8, IF(OR(J55="X", J55="Х"), "X", ""))</f>
        <v/>
      </c>
      <c r="K56" s="129">
        <f>IF(OR(K55="ВД", K55="Р"), 8, IF(OR(K55="X", K55="Х"), "X", ""))</f>
        <v/>
      </c>
      <c r="L56" s="129">
        <f>IF(OR(L55="ВД", L55="Р"), 8, IF(OR(L55="X", L55="Х"), "X", ""))</f>
        <v/>
      </c>
      <c r="M56" s="129">
        <f>IF(OR(M55="ВД", M55="Р"), 8, IF(OR(M55="X", M55="Х"), "X", ""))</f>
        <v/>
      </c>
      <c r="N56" s="129">
        <f>IF(OR(N55="ВД", N55="Р"), 8, IF(OR(N55="X", N55="Х"), "X", ""))</f>
        <v/>
      </c>
      <c r="O56" s="129">
        <f>IF(OR(O55="ВД", O55="Р"), 8, IF(OR(O55="X", O55="Х"), "X", ""))</f>
        <v/>
      </c>
      <c r="P56" s="129">
        <f>IF(OR(P55="ВД", P55="Р"), 8, IF(OR(P55="X", P55="Х"), "X", ""))</f>
        <v/>
      </c>
      <c r="Q56" s="129">
        <f>IF(OR(Q55="ВД", Q55="Р"), 8, IF(OR(Q55="X", Q55="Х"), "X", ""))</f>
        <v/>
      </c>
      <c r="R56" s="129">
        <f>IF(OR(R55="ВД", R55="Р"), 8, IF(OR(R55="X", R55="Х"), "X", ""))</f>
        <v/>
      </c>
      <c r="S56" s="129">
        <f>IF(OR(S55="ВД", S55="Р"), 8, IF(OR(S55="X", S55="Х"), "X", ""))</f>
        <v/>
      </c>
      <c r="T56" s="129">
        <f>IF(OR(T55="ВД", T55="Р"), 8, IF(OR(T55="X", T55="Х"), "X", ""))</f>
        <v/>
      </c>
      <c r="U56" s="126" t="n"/>
      <c r="V56" s="113" t="n"/>
      <c r="W56" s="113" t="n"/>
      <c r="X56" s="113" t="n"/>
      <c r="Y56" s="113" t="n"/>
      <c r="Z56" s="113" t="n"/>
      <c r="AA56" s="114" t="n"/>
    </row>
    <row r="57">
      <c r="A57" s="127" t="n">
        <v>1</v>
      </c>
      <c r="B57" s="127" t="inlineStr">
        <is>
          <t>Протасов
О.</t>
        </is>
      </c>
      <c r="C57" s="128">
        <f>INT((ROW()-13)/4)+1</f>
        <v/>
      </c>
      <c r="D57" s="120" t="inlineStr">
        <is>
          <t>ч</t>
        </is>
      </c>
      <c r="E57" s="129" t="inlineStr">
        <is>
          <t>Р</t>
        </is>
      </c>
      <c r="F57" s="129" t="inlineStr">
        <is>
          <t>Р</t>
        </is>
      </c>
      <c r="G57" s="129" t="inlineStr">
        <is>
          <t>Р</t>
        </is>
      </c>
      <c r="H57" s="129" t="inlineStr">
        <is>
          <t>Р</t>
        </is>
      </c>
      <c r="I57" s="129" t="inlineStr">
        <is>
          <t>Р</t>
        </is>
      </c>
      <c r="J57" s="129" t="inlineStr">
        <is>
          <t>ВВ</t>
        </is>
      </c>
      <c r="K57" s="129" t="inlineStr">
        <is>
          <t>ВВ</t>
        </is>
      </c>
      <c r="L57" s="129" t="inlineStr">
        <is>
          <t>Р</t>
        </is>
      </c>
      <c r="M57" s="129" t="inlineStr">
        <is>
          <t>Р</t>
        </is>
      </c>
      <c r="N57" s="129" t="inlineStr">
        <is>
          <t>Р</t>
        </is>
      </c>
      <c r="O57" s="129" t="inlineStr">
        <is>
          <t>Р</t>
        </is>
      </c>
      <c r="P57" s="129" t="inlineStr">
        <is>
          <t>Р</t>
        </is>
      </c>
      <c r="Q57" s="129" t="inlineStr">
        <is>
          <t>ВВ</t>
        </is>
      </c>
      <c r="R57" s="129" t="inlineStr">
        <is>
          <t>ВВ</t>
        </is>
      </c>
      <c r="S57" s="129" t="inlineStr">
        <is>
          <t>Р</t>
        </is>
      </c>
      <c r="T57" s="130" t="inlineStr">
        <is>
          <t>X</t>
        </is>
      </c>
      <c r="U57" s="119">
        <f>IF(COUNT(E57:T60)=0, "", COUNT(E57:T60))</f>
        <v/>
      </c>
      <c r="V57" s="120">
        <f>IF(SUM(E57:T60)=0, "",SUM(E57:T60))</f>
        <v/>
      </c>
      <c r="W57" s="120" t="n"/>
      <c r="X57" s="120" t="n"/>
      <c r="Y57" s="120" t="n"/>
      <c r="Z57" s="120">
        <f t="array" ref="Z57">IF(SUM(COUNTIF(E57:T60, {"В";"ВП";"ДД";"НА"}))=0, "", SUM(COUNTIF(E57:T60, {"В";"ВП";"ДД";"НА"})))</f>
        <v/>
      </c>
      <c r="AA57" s="131">
        <f>IF(COUNTIF(E57:T60, "ВВ")=0, "", COUNTIF(E57:T60, "ВВ"))</f>
        <v/>
      </c>
    </row>
    <row r="58">
      <c r="A58" s="108" t="n"/>
      <c r="B58" s="108" t="n"/>
      <c r="C58" s="122" t="n"/>
      <c r="D58" s="123" t="n"/>
      <c r="E58" s="129">
        <f>IF(OR(E57="ВД", E57="Р"), 8, IF(OR(E57="X", E57="Х"), "X", ""))</f>
        <v/>
      </c>
      <c r="F58" s="129">
        <f>IF(OR(F57="ВД", F57="Р"), 8, IF(OR(F57="X", F57="Х"), "X", ""))</f>
        <v/>
      </c>
      <c r="G58" s="129">
        <f>IF(OR(G57="ВД", G57="Р"), 8, IF(OR(G57="X", G57="Х"), "X", ""))</f>
        <v/>
      </c>
      <c r="H58" s="129">
        <f>IF(OR(H57="ВД", H57="Р"), 8, IF(OR(H57="X", H57="Х"), "X", ""))</f>
        <v/>
      </c>
      <c r="I58" s="129">
        <f>IF(OR(I57="ВД", I57="Р"), 8, IF(OR(I57="X", I57="Х"), "X", ""))</f>
        <v/>
      </c>
      <c r="J58" s="129">
        <f>IF(OR(J57="ВД", J57="Р"), 8, IF(OR(J57="X", J57="Х"), "X", ""))</f>
        <v/>
      </c>
      <c r="K58" s="129">
        <f>IF(OR(K57="ВД", K57="Р"), 8, IF(OR(K57="X", K57="Х"), "X", ""))</f>
        <v/>
      </c>
      <c r="L58" s="129">
        <f>IF(OR(L57="ВД", L57="Р"), 8, IF(OR(L57="X", L57="Х"), "X", ""))</f>
        <v/>
      </c>
      <c r="M58" s="129">
        <f>IF(OR(M57="ВД", M57="Р"), 8, IF(OR(M57="X", M57="Х"), "X", ""))</f>
        <v/>
      </c>
      <c r="N58" s="129">
        <f>IF(OR(N57="ВД", N57="Р"), 8, IF(OR(N57="X", N57="Х"), "X", ""))</f>
        <v/>
      </c>
      <c r="O58" s="129">
        <f>IF(OR(O57="ВД", O57="Р"), 8, IF(OR(O57="X", O57="Х"), "X", ""))</f>
        <v/>
      </c>
      <c r="P58" s="129">
        <f>IF(OR(P57="ВД", P57="Р"), 8, IF(OR(P57="X", P57="Х"), "X", ""))</f>
        <v/>
      </c>
      <c r="Q58" s="129">
        <f>IF(OR(Q57="ВД", Q57="Р"), 8, IF(OR(Q57="X", Q57="Х"), "X", ""))</f>
        <v/>
      </c>
      <c r="R58" s="129">
        <f>IF(OR(R57="ВД", R57="Р"), 8, IF(OR(R57="X", R57="Х"), "X", ""))</f>
        <v/>
      </c>
      <c r="S58" s="129">
        <f>IF(OR(S57="ВД", S57="Р"), 8, IF(OR(S57="X", S57="Х"), "X", ""))</f>
        <v/>
      </c>
      <c r="T58" s="129">
        <f>IF(OR(T57="ВД", T57="Р"), 8, IF(OR(T57="X", T57="Х"), "X", ""))</f>
        <v/>
      </c>
      <c r="U58" s="124" t="n"/>
      <c r="V58" s="123" t="n"/>
      <c r="W58" s="123" t="n"/>
      <c r="X58" s="123" t="n"/>
      <c r="Y58" s="123" t="n"/>
      <c r="Z58" s="123" t="n"/>
      <c r="AA58" s="125" t="n"/>
    </row>
    <row r="59">
      <c r="A59" s="108" t="n"/>
      <c r="B59" s="108" t="n"/>
      <c r="C59" s="122" t="n"/>
      <c r="D59" s="123" t="n"/>
      <c r="E59" s="129" t="inlineStr">
        <is>
          <t>Р</t>
        </is>
      </c>
      <c r="F59" s="129" t="inlineStr">
        <is>
          <t>Р</t>
        </is>
      </c>
      <c r="G59" s="129" t="inlineStr">
        <is>
          <t>Р</t>
        </is>
      </c>
      <c r="H59" s="129" t="inlineStr">
        <is>
          <t>ВД</t>
        </is>
      </c>
      <c r="I59" s="129" t="inlineStr">
        <is>
          <t>ВД</t>
        </is>
      </c>
      <c r="J59" s="129" t="inlineStr">
        <is>
          <t>ВВ</t>
        </is>
      </c>
      <c r="K59" s="129" t="inlineStr">
        <is>
          <t>ВД</t>
        </is>
      </c>
      <c r="L59" s="129" t="inlineStr">
        <is>
          <t>Р</t>
        </is>
      </c>
      <c r="M59" s="129" t="inlineStr">
        <is>
          <t>Р</t>
        </is>
      </c>
      <c r="N59" s="129" t="inlineStr">
        <is>
          <t>Р</t>
        </is>
      </c>
      <c r="O59" s="129" t="inlineStr">
        <is>
          <t>Р</t>
        </is>
      </c>
      <c r="P59" s="129" t="inlineStr">
        <is>
          <t>ВВ</t>
        </is>
      </c>
      <c r="Q59" s="129" t="inlineStr">
        <is>
          <t>ВВ</t>
        </is>
      </c>
      <c r="R59" s="129" t="inlineStr">
        <is>
          <t>Р</t>
        </is>
      </c>
      <c r="S59" s="129" t="inlineStr">
        <is>
          <t>Р</t>
        </is>
      </c>
      <c r="T59" s="130" t="inlineStr">
        <is>
          <t>X</t>
        </is>
      </c>
      <c r="U59" s="124" t="n"/>
      <c r="V59" s="123" t="n"/>
      <c r="W59" s="123" t="n"/>
      <c r="X59" s="123" t="n"/>
      <c r="Y59" s="123" t="n"/>
      <c r="Z59" s="123" t="n"/>
      <c r="AA59" s="125" t="n"/>
    </row>
    <row r="60">
      <c r="A60" s="115" t="n"/>
      <c r="B60" s="115" t="n"/>
      <c r="C60" s="112" t="n"/>
      <c r="D60" s="113" t="n"/>
      <c r="E60" s="129">
        <f>IF(OR(E59="ВД", E59="Р"), 8, IF(OR(E59="X", E59="Х"), "X", ""))</f>
        <v/>
      </c>
      <c r="F60" s="129">
        <f>IF(OR(F59="ВД", F59="Р"), 8, IF(OR(F59="X", F59="Х"), "X", ""))</f>
        <v/>
      </c>
      <c r="G60" s="129">
        <f>IF(OR(G59="ВД", G59="Р"), 8, IF(OR(G59="X", G59="Х"), "X", ""))</f>
        <v/>
      </c>
      <c r="H60" s="129">
        <f>IF(OR(H59="ВД", H59="Р"), 8, IF(OR(H59="X", H59="Х"), "X", ""))</f>
        <v/>
      </c>
      <c r="I60" s="129">
        <f>IF(OR(I59="ВД", I59="Р"), 8, IF(OR(I59="X", I59="Х"), "X", ""))</f>
        <v/>
      </c>
      <c r="J60" s="129">
        <f>IF(OR(J59="ВД", J59="Р"), 8, IF(OR(J59="X", J59="Х"), "X", ""))</f>
        <v/>
      </c>
      <c r="K60" s="129">
        <f>IF(OR(K59="ВД", K59="Р"), 8, IF(OR(K59="X", K59="Х"), "X", ""))</f>
        <v/>
      </c>
      <c r="L60" s="129">
        <f>IF(OR(L59="ВД", L59="Р"), 8, IF(OR(L59="X", L59="Х"), "X", ""))</f>
        <v/>
      </c>
      <c r="M60" s="129">
        <f>IF(OR(M59="ВД", M59="Р"), 8, IF(OR(M59="X", M59="Х"), "X", ""))</f>
        <v/>
      </c>
      <c r="N60" s="129">
        <f>IF(OR(N59="ВД", N59="Р"), 8, IF(OR(N59="X", N59="Х"), "X", ""))</f>
        <v/>
      </c>
      <c r="O60" s="129">
        <f>IF(OR(O59="ВД", O59="Р"), 8, IF(OR(O59="X", O59="Х"), "X", ""))</f>
        <v/>
      </c>
      <c r="P60" s="129">
        <f>IF(OR(P59="ВД", P59="Р"), 8, IF(OR(P59="X", P59="Х"), "X", ""))</f>
        <v/>
      </c>
      <c r="Q60" s="129">
        <f>IF(OR(Q59="ВД", Q59="Р"), 8, IF(OR(Q59="X", Q59="Х"), "X", ""))</f>
        <v/>
      </c>
      <c r="R60" s="129">
        <f>IF(OR(R59="ВД", R59="Р"), 8, IF(OR(R59="X", R59="Х"), "X", ""))</f>
        <v/>
      </c>
      <c r="S60" s="129">
        <f>IF(OR(S59="ВД", S59="Р"), 8, IF(OR(S59="X", S59="Х"), "X", ""))</f>
        <v/>
      </c>
      <c r="T60" s="129">
        <f>IF(OR(T59="ВД", T59="Р"), 8, IF(OR(T59="X", T59="Х"), "X", ""))</f>
        <v/>
      </c>
      <c r="U60" s="126" t="n"/>
      <c r="V60" s="113" t="n"/>
      <c r="W60" s="113" t="n"/>
      <c r="X60" s="113" t="n"/>
      <c r="Y60" s="113" t="n"/>
      <c r="Z60" s="113" t="n"/>
      <c r="AA60" s="114" t="n"/>
    </row>
    <row r="61">
      <c r="A61" s="127" t="n">
        <v>1</v>
      </c>
      <c r="B61" s="127" t="inlineStr">
        <is>
          <t>Ракул
К.</t>
        </is>
      </c>
      <c r="C61" s="128">
        <f>INT((ROW()-13)/4)+1</f>
        <v/>
      </c>
      <c r="D61" s="120" t="inlineStr">
        <is>
          <t>ч</t>
        </is>
      </c>
      <c r="E61" s="129" t="inlineStr">
        <is>
          <t>Р</t>
        </is>
      </c>
      <c r="F61" s="129" t="inlineStr">
        <is>
          <t>Р</t>
        </is>
      </c>
      <c r="G61" s="129" t="inlineStr">
        <is>
          <t>Р</t>
        </is>
      </c>
      <c r="H61" s="129" t="inlineStr">
        <is>
          <t>Р</t>
        </is>
      </c>
      <c r="I61" s="129" t="inlineStr">
        <is>
          <t>Р</t>
        </is>
      </c>
      <c r="J61" s="129" t="inlineStr">
        <is>
          <t>ВВ</t>
        </is>
      </c>
      <c r="K61" s="129" t="inlineStr">
        <is>
          <t>ВВ</t>
        </is>
      </c>
      <c r="L61" s="129" t="inlineStr">
        <is>
          <t>Р</t>
        </is>
      </c>
      <c r="M61" s="129" t="inlineStr">
        <is>
          <t>Р</t>
        </is>
      </c>
      <c r="N61" s="129" t="inlineStr">
        <is>
          <t>Р</t>
        </is>
      </c>
      <c r="O61" s="129" t="inlineStr">
        <is>
          <t>Р</t>
        </is>
      </c>
      <c r="P61" s="129" t="inlineStr">
        <is>
          <t>Р</t>
        </is>
      </c>
      <c r="Q61" s="129" t="inlineStr">
        <is>
          <t>ВВ</t>
        </is>
      </c>
      <c r="R61" s="129" t="inlineStr">
        <is>
          <t>ВВ</t>
        </is>
      </c>
      <c r="S61" s="129" t="inlineStr">
        <is>
          <t>Р</t>
        </is>
      </c>
      <c r="T61" s="130" t="inlineStr">
        <is>
          <t>X</t>
        </is>
      </c>
      <c r="U61" s="119">
        <f>IF(COUNT(E61:T64)=0, "", COUNT(E61:T64))</f>
        <v/>
      </c>
      <c r="V61" s="120">
        <f>IF(SUM(E61:T64)=0, "",SUM(E61:T64))</f>
        <v/>
      </c>
      <c r="W61" s="120" t="n"/>
      <c r="X61" s="120" t="n"/>
      <c r="Y61" s="120" t="n"/>
      <c r="Z61" s="120">
        <f t="array" ref="Z61">IF(SUM(COUNTIF(E61:T64, {"В";"ВП";"ДД";"НА"}))=0, "", SUM(COUNTIF(E61:T64, {"В";"ВП";"ДД";"НА"})))</f>
        <v/>
      </c>
      <c r="AA61" s="131">
        <f>IF(COUNTIF(E61:T64, "ВВ")=0, "", COUNTIF(E61:T64, "ВВ"))</f>
        <v/>
      </c>
    </row>
    <row r="62">
      <c r="A62" s="108" t="n"/>
      <c r="B62" s="108" t="n"/>
      <c r="C62" s="122" t="n"/>
      <c r="D62" s="123" t="n"/>
      <c r="E62" s="129">
        <f>IF(OR(E61="ВД", E61="Р"), 8, IF(OR(E61="X", E61="Х"), "X", ""))</f>
        <v/>
      </c>
      <c r="F62" s="129">
        <f>IF(OR(F61="ВД", F61="Р"), 8, IF(OR(F61="X", F61="Х"), "X", ""))</f>
        <v/>
      </c>
      <c r="G62" s="129">
        <f>IF(OR(G61="ВД", G61="Р"), 8, IF(OR(G61="X", G61="Х"), "X", ""))</f>
        <v/>
      </c>
      <c r="H62" s="129">
        <f>IF(OR(H61="ВД", H61="Р"), 8, IF(OR(H61="X", H61="Х"), "X", ""))</f>
        <v/>
      </c>
      <c r="I62" s="129">
        <f>IF(OR(I61="ВД", I61="Р"), 8, IF(OR(I61="X", I61="Х"), "X", ""))</f>
        <v/>
      </c>
      <c r="J62" s="129">
        <f>IF(OR(J61="ВД", J61="Р"), 8, IF(OR(J61="X", J61="Х"), "X", ""))</f>
        <v/>
      </c>
      <c r="K62" s="129">
        <f>IF(OR(K61="ВД", K61="Р"), 8, IF(OR(K61="X", K61="Х"), "X", ""))</f>
        <v/>
      </c>
      <c r="L62" s="129">
        <f>IF(OR(L61="ВД", L61="Р"), 8, IF(OR(L61="X", L61="Х"), "X", ""))</f>
        <v/>
      </c>
      <c r="M62" s="129">
        <f>IF(OR(M61="ВД", M61="Р"), 8, IF(OR(M61="X", M61="Х"), "X", ""))</f>
        <v/>
      </c>
      <c r="N62" s="129">
        <f>IF(OR(N61="ВД", N61="Р"), 8, IF(OR(N61="X", N61="Х"), "X", ""))</f>
        <v/>
      </c>
      <c r="O62" s="129">
        <f>IF(OR(O61="ВД", O61="Р"), 8, IF(OR(O61="X", O61="Х"), "X", ""))</f>
        <v/>
      </c>
      <c r="P62" s="129">
        <f>IF(OR(P61="ВД", P61="Р"), 8, IF(OR(P61="X", P61="Х"), "X", ""))</f>
        <v/>
      </c>
      <c r="Q62" s="129">
        <f>IF(OR(Q61="ВД", Q61="Р"), 8, IF(OR(Q61="X", Q61="Х"), "X", ""))</f>
        <v/>
      </c>
      <c r="R62" s="129">
        <f>IF(OR(R61="ВД", R61="Р"), 8, IF(OR(R61="X", R61="Х"), "X", ""))</f>
        <v/>
      </c>
      <c r="S62" s="129">
        <f>IF(OR(S61="ВД", S61="Р"), 8, IF(OR(S61="X", S61="Х"), "X", ""))</f>
        <v/>
      </c>
      <c r="T62" s="129">
        <f>IF(OR(T61="ВД", T61="Р"), 8, IF(OR(T61="X", T61="Х"), "X", ""))</f>
        <v/>
      </c>
      <c r="U62" s="124" t="n"/>
      <c r="V62" s="123" t="n"/>
      <c r="W62" s="123" t="n"/>
      <c r="X62" s="123" t="n"/>
      <c r="Y62" s="123" t="n"/>
      <c r="Z62" s="123" t="n"/>
      <c r="AA62" s="125" t="n"/>
    </row>
    <row r="63">
      <c r="A63" s="108" t="n"/>
      <c r="B63" s="108" t="n"/>
      <c r="C63" s="122" t="n"/>
      <c r="D63" s="123" t="n"/>
      <c r="E63" s="129" t="inlineStr">
        <is>
          <t>Р</t>
        </is>
      </c>
      <c r="F63" s="129" t="inlineStr">
        <is>
          <t>Р</t>
        </is>
      </c>
      <c r="G63" s="129" t="inlineStr">
        <is>
          <t>ВД</t>
        </is>
      </c>
      <c r="H63" s="129" t="inlineStr">
        <is>
          <t>ВД</t>
        </is>
      </c>
      <c r="I63" s="129" t="inlineStr">
        <is>
          <t>ВД</t>
        </is>
      </c>
      <c r="J63" s="129" t="inlineStr">
        <is>
          <t>ВД</t>
        </is>
      </c>
      <c r="K63" s="129" t="inlineStr">
        <is>
          <t>Р</t>
        </is>
      </c>
      <c r="L63" s="129" t="inlineStr">
        <is>
          <t>Р</t>
        </is>
      </c>
      <c r="M63" s="129" t="inlineStr">
        <is>
          <t>ВД</t>
        </is>
      </c>
      <c r="N63" s="129" t="inlineStr">
        <is>
          <t>ВД</t>
        </is>
      </c>
      <c r="O63" s="129" t="inlineStr">
        <is>
          <t>Р</t>
        </is>
      </c>
      <c r="P63" s="129" t="inlineStr">
        <is>
          <t>ВВ</t>
        </is>
      </c>
      <c r="Q63" s="129" t="inlineStr">
        <is>
          <t>ВВ</t>
        </is>
      </c>
      <c r="R63" s="129" t="inlineStr">
        <is>
          <t>Р</t>
        </is>
      </c>
      <c r="S63" s="129" t="inlineStr">
        <is>
          <t>Р</t>
        </is>
      </c>
      <c r="T63" s="130" t="inlineStr">
        <is>
          <t>X</t>
        </is>
      </c>
      <c r="U63" s="124" t="n"/>
      <c r="V63" s="123" t="n"/>
      <c r="W63" s="123" t="n"/>
      <c r="X63" s="123" t="n"/>
      <c r="Y63" s="123" t="n"/>
      <c r="Z63" s="123" t="n"/>
      <c r="AA63" s="125" t="n"/>
    </row>
    <row r="64">
      <c r="A64" s="115" t="n"/>
      <c r="B64" s="115" t="n"/>
      <c r="C64" s="112" t="n"/>
      <c r="D64" s="113" t="n"/>
      <c r="E64" s="129">
        <f>IF(OR(E63="ВД", E63="Р"), 8, IF(OR(E63="X", E63="Х"), "X", ""))</f>
        <v/>
      </c>
      <c r="F64" s="129">
        <f>IF(OR(F63="ВД", F63="Р"), 8, IF(OR(F63="X", F63="Х"), "X", ""))</f>
        <v/>
      </c>
      <c r="G64" s="129">
        <f>IF(OR(G63="ВД", G63="Р"), 8, IF(OR(G63="X", G63="Х"), "X", ""))</f>
        <v/>
      </c>
      <c r="H64" s="129">
        <f>IF(OR(H63="ВД", H63="Р"), 8, IF(OR(H63="X", H63="Х"), "X", ""))</f>
        <v/>
      </c>
      <c r="I64" s="129">
        <f>IF(OR(I63="ВД", I63="Р"), 8, IF(OR(I63="X", I63="Х"), "X", ""))</f>
        <v/>
      </c>
      <c r="J64" s="129">
        <f>IF(OR(J63="ВД", J63="Р"), 8, IF(OR(J63="X", J63="Х"), "X", ""))</f>
        <v/>
      </c>
      <c r="K64" s="129">
        <f>IF(OR(K63="ВД", K63="Р"), 8, IF(OR(K63="X", K63="Х"), "X", ""))</f>
        <v/>
      </c>
      <c r="L64" s="129">
        <f>IF(OR(L63="ВД", L63="Р"), 8, IF(OR(L63="X", L63="Х"), "X", ""))</f>
        <v/>
      </c>
      <c r="M64" s="129">
        <f>IF(OR(M63="ВД", M63="Р"), 8, IF(OR(M63="X", M63="Х"), "X", ""))</f>
        <v/>
      </c>
      <c r="N64" s="129">
        <f>IF(OR(N63="ВД", N63="Р"), 8, IF(OR(N63="X", N63="Х"), "X", ""))</f>
        <v/>
      </c>
      <c r="O64" s="129">
        <f>IF(OR(O63="ВД", O63="Р"), 8, IF(OR(O63="X", O63="Х"), "X", ""))</f>
        <v/>
      </c>
      <c r="P64" s="129">
        <f>IF(OR(P63="ВД", P63="Р"), 8, IF(OR(P63="X", P63="Х"), "X", ""))</f>
        <v/>
      </c>
      <c r="Q64" s="129">
        <f>IF(OR(Q63="ВД", Q63="Р"), 8, IF(OR(Q63="X", Q63="Х"), "X", ""))</f>
        <v/>
      </c>
      <c r="R64" s="129">
        <f>IF(OR(R63="ВД", R63="Р"), 8, IF(OR(R63="X", R63="Х"), "X", ""))</f>
        <v/>
      </c>
      <c r="S64" s="129">
        <f>IF(OR(S63="ВД", S63="Р"), 8, IF(OR(S63="X", S63="Х"), "X", ""))</f>
        <v/>
      </c>
      <c r="T64" s="129">
        <f>IF(OR(T63="ВД", T63="Р"), 8, IF(OR(T63="X", T63="Х"), "X", ""))</f>
        <v/>
      </c>
      <c r="U64" s="126" t="n"/>
      <c r="V64" s="113" t="n"/>
      <c r="W64" s="113" t="n"/>
      <c r="X64" s="113" t="n"/>
      <c r="Y64" s="113" t="n"/>
      <c r="Z64" s="113" t="n"/>
      <c r="AA64" s="114" t="n"/>
    </row>
    <row r="65">
      <c r="A65" s="127" t="n">
        <v>1</v>
      </c>
      <c r="B65" s="127" t="inlineStr">
        <is>
          <t>Рябовал
Р.</t>
        </is>
      </c>
      <c r="C65" s="128">
        <f>INT((ROW()-13)/4)+1</f>
        <v/>
      </c>
      <c r="D65" s="120" t="inlineStr">
        <is>
          <t>ч</t>
        </is>
      </c>
      <c r="E65" s="129" t="inlineStr">
        <is>
          <t>Р</t>
        </is>
      </c>
      <c r="F65" s="129" t="inlineStr">
        <is>
          <t>Р</t>
        </is>
      </c>
      <c r="G65" s="129" t="inlineStr">
        <is>
          <t>Р</t>
        </is>
      </c>
      <c r="H65" s="129" t="inlineStr">
        <is>
          <t>Р</t>
        </is>
      </c>
      <c r="I65" s="129" t="inlineStr">
        <is>
          <t>Р</t>
        </is>
      </c>
      <c r="J65" s="129" t="inlineStr">
        <is>
          <t>ВВ</t>
        </is>
      </c>
      <c r="K65" s="129" t="inlineStr">
        <is>
          <t>ВВ</t>
        </is>
      </c>
      <c r="L65" s="129" t="inlineStr">
        <is>
          <t>Р</t>
        </is>
      </c>
      <c r="M65" s="129" t="inlineStr">
        <is>
          <t>Р</t>
        </is>
      </c>
      <c r="N65" s="129" t="inlineStr">
        <is>
          <t>Р</t>
        </is>
      </c>
      <c r="O65" s="129" t="inlineStr">
        <is>
          <t>Р</t>
        </is>
      </c>
      <c r="P65" s="129" t="inlineStr">
        <is>
          <t>Р</t>
        </is>
      </c>
      <c r="Q65" s="129" t="inlineStr">
        <is>
          <t>ВВ</t>
        </is>
      </c>
      <c r="R65" s="129" t="inlineStr">
        <is>
          <t>ВВ</t>
        </is>
      </c>
      <c r="S65" s="129" t="inlineStr">
        <is>
          <t>Р</t>
        </is>
      </c>
      <c r="T65" s="130" t="inlineStr">
        <is>
          <t>X</t>
        </is>
      </c>
      <c r="U65" s="119">
        <f>IF(COUNT(E65:T68)=0, "", COUNT(E65:T68))</f>
        <v/>
      </c>
      <c r="V65" s="120">
        <f>IF(SUM(E65:T68)=0, "",SUM(E65:T68))</f>
        <v/>
      </c>
      <c r="W65" s="120" t="n"/>
      <c r="X65" s="120" t="n"/>
      <c r="Y65" s="120" t="n"/>
      <c r="Z65" s="120">
        <f t="array" ref="Z65">IF(SUM(COUNTIF(E65:T68, {"В";"ВП";"ДД";"НА"}))=0, "", SUM(COUNTIF(E65:T68, {"В";"ВП";"ДД";"НА"})))</f>
        <v/>
      </c>
      <c r="AA65" s="131">
        <f>IF(COUNTIF(E65:T68, "ВВ")=0, "", COUNTIF(E65:T68, "ВВ"))</f>
        <v/>
      </c>
    </row>
    <row r="66">
      <c r="A66" s="108" t="n"/>
      <c r="B66" s="108" t="n"/>
      <c r="C66" s="122" t="n"/>
      <c r="D66" s="123" t="n"/>
      <c r="E66" s="129">
        <f>IF(OR(E65="ВД", E65="Р"), 8, IF(OR(E65="X", E65="Х"), "X", ""))</f>
        <v/>
      </c>
      <c r="F66" s="129">
        <f>IF(OR(F65="ВД", F65="Р"), 8, IF(OR(F65="X", F65="Х"), "X", ""))</f>
        <v/>
      </c>
      <c r="G66" s="129">
        <f>IF(OR(G65="ВД", G65="Р"), 8, IF(OR(G65="X", G65="Х"), "X", ""))</f>
        <v/>
      </c>
      <c r="H66" s="129">
        <f>IF(OR(H65="ВД", H65="Р"), 8, IF(OR(H65="X", H65="Х"), "X", ""))</f>
        <v/>
      </c>
      <c r="I66" s="129">
        <f>IF(OR(I65="ВД", I65="Р"), 8, IF(OR(I65="X", I65="Х"), "X", ""))</f>
        <v/>
      </c>
      <c r="J66" s="129">
        <f>IF(OR(J65="ВД", J65="Р"), 8, IF(OR(J65="X", J65="Х"), "X", ""))</f>
        <v/>
      </c>
      <c r="K66" s="129">
        <f>IF(OR(K65="ВД", K65="Р"), 8, IF(OR(K65="X", K65="Х"), "X", ""))</f>
        <v/>
      </c>
      <c r="L66" s="129">
        <f>IF(OR(L65="ВД", L65="Р"), 8, IF(OR(L65="X", L65="Х"), "X", ""))</f>
        <v/>
      </c>
      <c r="M66" s="129">
        <f>IF(OR(M65="ВД", M65="Р"), 8, IF(OR(M65="X", M65="Х"), "X", ""))</f>
        <v/>
      </c>
      <c r="N66" s="129">
        <f>IF(OR(N65="ВД", N65="Р"), 8, IF(OR(N65="X", N65="Х"), "X", ""))</f>
        <v/>
      </c>
      <c r="O66" s="129">
        <f>IF(OR(O65="ВД", O65="Р"), 8, IF(OR(O65="X", O65="Х"), "X", ""))</f>
        <v/>
      </c>
      <c r="P66" s="129">
        <f>IF(OR(P65="ВД", P65="Р"), 8, IF(OR(P65="X", P65="Х"), "X", ""))</f>
        <v/>
      </c>
      <c r="Q66" s="129">
        <f>IF(OR(Q65="ВД", Q65="Р"), 8, IF(OR(Q65="X", Q65="Х"), "X", ""))</f>
        <v/>
      </c>
      <c r="R66" s="129">
        <f>IF(OR(R65="ВД", R65="Р"), 8, IF(OR(R65="X", R65="Х"), "X", ""))</f>
        <v/>
      </c>
      <c r="S66" s="129">
        <f>IF(OR(S65="ВД", S65="Р"), 8, IF(OR(S65="X", S65="Х"), "X", ""))</f>
        <v/>
      </c>
      <c r="T66" s="129">
        <f>IF(OR(T65="ВД", T65="Р"), 8, IF(OR(T65="X", T65="Х"), "X", ""))</f>
        <v/>
      </c>
      <c r="U66" s="124" t="n"/>
      <c r="V66" s="123" t="n"/>
      <c r="W66" s="123" t="n"/>
      <c r="X66" s="123" t="n"/>
      <c r="Y66" s="123" t="n"/>
      <c r="Z66" s="123" t="n"/>
      <c r="AA66" s="125" t="n"/>
    </row>
    <row r="67">
      <c r="A67" s="108" t="n"/>
      <c r="B67" s="108" t="n"/>
      <c r="C67" s="122" t="n"/>
      <c r="D67" s="123" t="n"/>
      <c r="E67" s="129" t="inlineStr">
        <is>
          <t>Р</t>
        </is>
      </c>
      <c r="F67" s="129" t="inlineStr">
        <is>
          <t>Р</t>
        </is>
      </c>
      <c r="G67" s="129" t="inlineStr">
        <is>
          <t>Р</t>
        </is>
      </c>
      <c r="H67" s="129" t="inlineStr">
        <is>
          <t>Р</t>
        </is>
      </c>
      <c r="I67" s="129" t="inlineStr">
        <is>
          <t>ВВ</t>
        </is>
      </c>
      <c r="J67" s="129" t="inlineStr">
        <is>
          <t>ВВ</t>
        </is>
      </c>
      <c r="K67" s="129" t="inlineStr">
        <is>
          <t>ВД</t>
        </is>
      </c>
      <c r="L67" s="129" t="inlineStr">
        <is>
          <t>ВД</t>
        </is>
      </c>
      <c r="M67" s="129" t="inlineStr">
        <is>
          <t>Р</t>
        </is>
      </c>
      <c r="N67" s="129" t="inlineStr">
        <is>
          <t>Р</t>
        </is>
      </c>
      <c r="O67" s="129" t="inlineStr">
        <is>
          <t>Р</t>
        </is>
      </c>
      <c r="P67" s="129" t="inlineStr">
        <is>
          <t>ВВ</t>
        </is>
      </c>
      <c r="Q67" s="129" t="inlineStr">
        <is>
          <t>ВВ</t>
        </is>
      </c>
      <c r="R67" s="129" t="inlineStr">
        <is>
          <t>Р</t>
        </is>
      </c>
      <c r="S67" s="129" t="inlineStr">
        <is>
          <t>Р</t>
        </is>
      </c>
      <c r="T67" s="130" t="inlineStr">
        <is>
          <t>X</t>
        </is>
      </c>
      <c r="U67" s="124" t="n"/>
      <c r="V67" s="123" t="n"/>
      <c r="W67" s="123" t="n"/>
      <c r="X67" s="123" t="n"/>
      <c r="Y67" s="123" t="n"/>
      <c r="Z67" s="123" t="n"/>
      <c r="AA67" s="125" t="n"/>
    </row>
    <row r="68">
      <c r="A68" s="115" t="n"/>
      <c r="B68" s="115" t="n"/>
      <c r="C68" s="112" t="n"/>
      <c r="D68" s="113" t="n"/>
      <c r="E68" s="129">
        <f>IF(OR(E67="ВД", E67="Р"), 8, IF(OR(E67="X", E67="Х"), "X", ""))</f>
        <v/>
      </c>
      <c r="F68" s="129">
        <f>IF(OR(F67="ВД", F67="Р"), 8, IF(OR(F67="X", F67="Х"), "X", ""))</f>
        <v/>
      </c>
      <c r="G68" s="129">
        <f>IF(OR(G67="ВД", G67="Р"), 8, IF(OR(G67="X", G67="Х"), "X", ""))</f>
        <v/>
      </c>
      <c r="H68" s="129">
        <f>IF(OR(H67="ВД", H67="Р"), 8, IF(OR(H67="X", H67="Х"), "X", ""))</f>
        <v/>
      </c>
      <c r="I68" s="129">
        <f>IF(OR(I67="ВД", I67="Р"), 8, IF(OR(I67="X", I67="Х"), "X", ""))</f>
        <v/>
      </c>
      <c r="J68" s="129">
        <f>IF(OR(J67="ВД", J67="Р"), 8, IF(OR(J67="X", J67="Х"), "X", ""))</f>
        <v/>
      </c>
      <c r="K68" s="129">
        <f>IF(OR(K67="ВД", K67="Р"), 8, IF(OR(K67="X", K67="Х"), "X", ""))</f>
        <v/>
      </c>
      <c r="L68" s="129">
        <f>IF(OR(L67="ВД", L67="Р"), 8, IF(OR(L67="X", L67="Х"), "X", ""))</f>
        <v/>
      </c>
      <c r="M68" s="129">
        <f>IF(OR(M67="ВД", M67="Р"), 8, IF(OR(M67="X", M67="Х"), "X", ""))</f>
        <v/>
      </c>
      <c r="N68" s="129">
        <f>IF(OR(N67="ВД", N67="Р"), 8, IF(OR(N67="X", N67="Х"), "X", ""))</f>
        <v/>
      </c>
      <c r="O68" s="129">
        <f>IF(OR(O67="ВД", O67="Р"), 8, IF(OR(O67="X", O67="Х"), "X", ""))</f>
        <v/>
      </c>
      <c r="P68" s="129">
        <f>IF(OR(P67="ВД", P67="Р"), 8, IF(OR(P67="X", P67="Х"), "X", ""))</f>
        <v/>
      </c>
      <c r="Q68" s="129">
        <f>IF(OR(Q67="ВД", Q67="Р"), 8, IF(OR(Q67="X", Q67="Х"), "X", ""))</f>
        <v/>
      </c>
      <c r="R68" s="129">
        <f>IF(OR(R67="ВД", R67="Р"), 8, IF(OR(R67="X", R67="Х"), "X", ""))</f>
        <v/>
      </c>
      <c r="S68" s="129">
        <f>IF(OR(S67="ВД", S67="Р"), 8, IF(OR(S67="X", S67="Х"), "X", ""))</f>
        <v/>
      </c>
      <c r="T68" s="129">
        <f>IF(OR(T67="ВД", T67="Р"), 8, IF(OR(T67="X", T67="Х"), "X", ""))</f>
        <v/>
      </c>
      <c r="U68" s="126" t="n"/>
      <c r="V68" s="113" t="n"/>
      <c r="W68" s="113" t="n"/>
      <c r="X68" s="113" t="n"/>
      <c r="Y68" s="113" t="n"/>
      <c r="Z68" s="113" t="n"/>
      <c r="AA68" s="114" t="n"/>
    </row>
    <row r="69">
      <c r="A69" s="127" t="n">
        <v>1</v>
      </c>
      <c r="B69" s="127" t="inlineStr">
        <is>
          <t>Соколенко
В.</t>
        </is>
      </c>
      <c r="C69" s="128">
        <f>INT((ROW()-13)/4)+1</f>
        <v/>
      </c>
      <c r="D69" s="120" t="inlineStr">
        <is>
          <t>ч</t>
        </is>
      </c>
      <c r="E69" s="129" t="inlineStr">
        <is>
          <t>Р</t>
        </is>
      </c>
      <c r="F69" s="129" t="inlineStr">
        <is>
          <t>Р</t>
        </is>
      </c>
      <c r="G69" s="129" t="inlineStr">
        <is>
          <t>Р</t>
        </is>
      </c>
      <c r="H69" s="129" t="inlineStr">
        <is>
          <t>Р</t>
        </is>
      </c>
      <c r="I69" s="129" t="inlineStr">
        <is>
          <t>Р</t>
        </is>
      </c>
      <c r="J69" s="129" t="inlineStr">
        <is>
          <t>ВВ</t>
        </is>
      </c>
      <c r="K69" s="129" t="inlineStr">
        <is>
          <t>ВВ</t>
        </is>
      </c>
      <c r="L69" s="129" t="inlineStr">
        <is>
          <t>Р</t>
        </is>
      </c>
      <c r="M69" s="129" t="inlineStr">
        <is>
          <t>Р</t>
        </is>
      </c>
      <c r="N69" s="129" t="inlineStr">
        <is>
          <t>Р</t>
        </is>
      </c>
      <c r="O69" s="129" t="inlineStr">
        <is>
          <t>Р</t>
        </is>
      </c>
      <c r="P69" s="129" t="inlineStr">
        <is>
          <t>Р</t>
        </is>
      </c>
      <c r="Q69" s="129" t="inlineStr">
        <is>
          <t>ВВ</t>
        </is>
      </c>
      <c r="R69" s="129" t="inlineStr">
        <is>
          <t>ВВ</t>
        </is>
      </c>
      <c r="S69" s="129" t="inlineStr">
        <is>
          <t>Р</t>
        </is>
      </c>
      <c r="T69" s="130" t="inlineStr">
        <is>
          <t>X</t>
        </is>
      </c>
      <c r="U69" s="119">
        <f>IF(COUNT(E69:T72)=0, "", COUNT(E69:T72))</f>
        <v/>
      </c>
      <c r="V69" s="120">
        <f>IF(SUM(E69:T72)=0, "",SUM(E69:T72))</f>
        <v/>
      </c>
      <c r="W69" s="120" t="n"/>
      <c r="X69" s="120" t="n"/>
      <c r="Y69" s="120" t="n"/>
      <c r="Z69" s="120">
        <f t="array" ref="Z69">IF(SUM(COUNTIF(E69:T72, {"В";"ВП";"ДД";"НА"}))=0, "", SUM(COUNTIF(E69:T72, {"В";"ВП";"ДД";"НА"})))</f>
        <v/>
      </c>
      <c r="AA69" s="131">
        <f>IF(COUNTIF(E69:T72, "ВВ")=0, "", COUNTIF(E69:T72, "ВВ"))</f>
        <v/>
      </c>
    </row>
    <row r="70">
      <c r="A70" s="108" t="n"/>
      <c r="B70" s="108" t="n"/>
      <c r="C70" s="122" t="n"/>
      <c r="D70" s="123" t="n"/>
      <c r="E70" s="129">
        <f>IF(OR(E69="ВД", E69="Р"), 8, IF(OR(E69="X", E69="Х"), "X", ""))</f>
        <v/>
      </c>
      <c r="F70" s="129">
        <f>IF(OR(F69="ВД", F69="Р"), 8, IF(OR(F69="X", F69="Х"), "X", ""))</f>
        <v/>
      </c>
      <c r="G70" s="129">
        <f>IF(OR(G69="ВД", G69="Р"), 8, IF(OR(G69="X", G69="Х"), "X", ""))</f>
        <v/>
      </c>
      <c r="H70" s="129">
        <f>IF(OR(H69="ВД", H69="Р"), 8, IF(OR(H69="X", H69="Х"), "X", ""))</f>
        <v/>
      </c>
      <c r="I70" s="129">
        <f>IF(OR(I69="ВД", I69="Р"), 8, IF(OR(I69="X", I69="Х"), "X", ""))</f>
        <v/>
      </c>
      <c r="J70" s="129">
        <f>IF(OR(J69="ВД", J69="Р"), 8, IF(OR(J69="X", J69="Х"), "X", ""))</f>
        <v/>
      </c>
      <c r="K70" s="129">
        <f>IF(OR(K69="ВД", K69="Р"), 8, IF(OR(K69="X", K69="Х"), "X", ""))</f>
        <v/>
      </c>
      <c r="L70" s="129">
        <f>IF(OR(L69="ВД", L69="Р"), 8, IF(OR(L69="X", L69="Х"), "X", ""))</f>
        <v/>
      </c>
      <c r="M70" s="129">
        <f>IF(OR(M69="ВД", M69="Р"), 8, IF(OR(M69="X", M69="Х"), "X", ""))</f>
        <v/>
      </c>
      <c r="N70" s="129">
        <f>IF(OR(N69="ВД", N69="Р"), 8, IF(OR(N69="X", N69="Х"), "X", ""))</f>
        <v/>
      </c>
      <c r="O70" s="129">
        <f>IF(OR(O69="ВД", O69="Р"), 8, IF(OR(O69="X", O69="Х"), "X", ""))</f>
        <v/>
      </c>
      <c r="P70" s="129">
        <f>IF(OR(P69="ВД", P69="Р"), 8, IF(OR(P69="X", P69="Х"), "X", ""))</f>
        <v/>
      </c>
      <c r="Q70" s="129">
        <f>IF(OR(Q69="ВД", Q69="Р"), 8, IF(OR(Q69="X", Q69="Х"), "X", ""))</f>
        <v/>
      </c>
      <c r="R70" s="129">
        <f>IF(OR(R69="ВД", R69="Р"), 8, IF(OR(R69="X", R69="Х"), "X", ""))</f>
        <v/>
      </c>
      <c r="S70" s="129">
        <f>IF(OR(S69="ВД", S69="Р"), 8, IF(OR(S69="X", S69="Х"), "X", ""))</f>
        <v/>
      </c>
      <c r="T70" s="129">
        <f>IF(OR(T69="ВД", T69="Р"), 8, IF(OR(T69="X", T69="Х"), "X", ""))</f>
        <v/>
      </c>
      <c r="U70" s="124" t="n"/>
      <c r="V70" s="123" t="n"/>
      <c r="W70" s="123" t="n"/>
      <c r="X70" s="123" t="n"/>
      <c r="Y70" s="123" t="n"/>
      <c r="Z70" s="123" t="n"/>
      <c r="AA70" s="125" t="n"/>
    </row>
    <row r="71">
      <c r="A71" s="108" t="n"/>
      <c r="B71" s="108" t="n"/>
      <c r="C71" s="122" t="n"/>
      <c r="D71" s="123" t="n"/>
      <c r="E71" s="129" t="inlineStr">
        <is>
          <t>Р</t>
        </is>
      </c>
      <c r="F71" s="129" t="inlineStr">
        <is>
          <t>Р</t>
        </is>
      </c>
      <c r="G71" s="129" t="inlineStr">
        <is>
          <t>Р</t>
        </is>
      </c>
      <c r="H71" s="129" t="inlineStr">
        <is>
          <t>Р</t>
        </is>
      </c>
      <c r="I71" s="129" t="inlineStr">
        <is>
          <t>ВВ</t>
        </is>
      </c>
      <c r="J71" s="129" t="inlineStr">
        <is>
          <t>ВВ</t>
        </is>
      </c>
      <c r="K71" s="129" t="inlineStr">
        <is>
          <t>Р</t>
        </is>
      </c>
      <c r="L71" s="129" t="inlineStr">
        <is>
          <t>ВД</t>
        </is>
      </c>
      <c r="M71" s="129" t="inlineStr">
        <is>
          <t>ВД</t>
        </is>
      </c>
      <c r="N71" s="129" t="inlineStr">
        <is>
          <t>ВД</t>
        </is>
      </c>
      <c r="O71" s="129" t="inlineStr">
        <is>
          <t>Р</t>
        </is>
      </c>
      <c r="P71" s="129" t="inlineStr">
        <is>
          <t>ВВ</t>
        </is>
      </c>
      <c r="Q71" s="129" t="inlineStr">
        <is>
          <t>ВВ</t>
        </is>
      </c>
      <c r="R71" s="129" t="inlineStr">
        <is>
          <t>Р</t>
        </is>
      </c>
      <c r="S71" s="129" t="inlineStr">
        <is>
          <t>Р</t>
        </is>
      </c>
      <c r="T71" s="130" t="inlineStr">
        <is>
          <t>X</t>
        </is>
      </c>
      <c r="U71" s="124" t="n"/>
      <c r="V71" s="123" t="n"/>
      <c r="W71" s="123" t="n"/>
      <c r="X71" s="123" t="n"/>
      <c r="Y71" s="123" t="n"/>
      <c r="Z71" s="123" t="n"/>
      <c r="AA71" s="125" t="n"/>
    </row>
    <row r="72">
      <c r="A72" s="115" t="n"/>
      <c r="B72" s="115" t="n"/>
      <c r="C72" s="112" t="n"/>
      <c r="D72" s="113" t="n"/>
      <c r="E72" s="129">
        <f>IF(OR(E71="ВД", E71="Р"), 8, IF(OR(E71="X", E71="Х"), "X", ""))</f>
        <v/>
      </c>
      <c r="F72" s="129">
        <f>IF(OR(F71="ВД", F71="Р"), 8, IF(OR(F71="X", F71="Х"), "X", ""))</f>
        <v/>
      </c>
      <c r="G72" s="129">
        <f>IF(OR(G71="ВД", G71="Р"), 8, IF(OR(G71="X", G71="Х"), "X", ""))</f>
        <v/>
      </c>
      <c r="H72" s="129">
        <f>IF(OR(H71="ВД", H71="Р"), 8, IF(OR(H71="X", H71="Х"), "X", ""))</f>
        <v/>
      </c>
      <c r="I72" s="129">
        <f>IF(OR(I71="ВД", I71="Р"), 8, IF(OR(I71="X", I71="Х"), "X", ""))</f>
        <v/>
      </c>
      <c r="J72" s="129">
        <f>IF(OR(J71="ВД", J71="Р"), 8, IF(OR(J71="X", J71="Х"), "X", ""))</f>
        <v/>
      </c>
      <c r="K72" s="129">
        <f>IF(OR(K71="ВД", K71="Р"), 8, IF(OR(K71="X", K71="Х"), "X", ""))</f>
        <v/>
      </c>
      <c r="L72" s="129">
        <f>IF(OR(L71="ВД", L71="Р"), 8, IF(OR(L71="X", L71="Х"), "X", ""))</f>
        <v/>
      </c>
      <c r="M72" s="129">
        <f>IF(OR(M71="ВД", M71="Р"), 8, IF(OR(M71="X", M71="Х"), "X", ""))</f>
        <v/>
      </c>
      <c r="N72" s="129">
        <f>IF(OR(N71="ВД", N71="Р"), 8, IF(OR(N71="X", N71="Х"), "X", ""))</f>
        <v/>
      </c>
      <c r="O72" s="129">
        <f>IF(OR(O71="ВД", O71="Р"), 8, IF(OR(O71="X", O71="Х"), "X", ""))</f>
        <v/>
      </c>
      <c r="P72" s="129">
        <f>IF(OR(P71="ВД", P71="Р"), 8, IF(OR(P71="X", P71="Х"), "X", ""))</f>
        <v/>
      </c>
      <c r="Q72" s="129">
        <f>IF(OR(Q71="ВД", Q71="Р"), 8, IF(OR(Q71="X", Q71="Х"), "X", ""))</f>
        <v/>
      </c>
      <c r="R72" s="129">
        <f>IF(OR(R71="ВД", R71="Р"), 8, IF(OR(R71="X", R71="Х"), "X", ""))</f>
        <v/>
      </c>
      <c r="S72" s="129">
        <f>IF(OR(S71="ВД", S71="Р"), 8, IF(OR(S71="X", S71="Х"), "X", ""))</f>
        <v/>
      </c>
      <c r="T72" s="129">
        <f>IF(OR(T71="ВД", T71="Р"), 8, IF(OR(T71="X", T71="Х"), "X", ""))</f>
        <v/>
      </c>
      <c r="U72" s="126" t="n"/>
      <c r="V72" s="113" t="n"/>
      <c r="W72" s="113" t="n"/>
      <c r="X72" s="113" t="n"/>
      <c r="Y72" s="113" t="n"/>
      <c r="Z72" s="113" t="n"/>
      <c r="AA72" s="114" t="n"/>
    </row>
    <row r="73">
      <c r="A73" s="127" t="n">
        <v>1</v>
      </c>
      <c r="B73" s="127" t="inlineStr">
        <is>
          <t>СоколенкоВ.С.</t>
        </is>
      </c>
      <c r="C73" s="128">
        <f>INT((ROW()-13)/4)+1</f>
        <v/>
      </c>
      <c r="D73" s="120" t="inlineStr">
        <is>
          <t>ч</t>
        </is>
      </c>
      <c r="E73" s="129" t="inlineStr">
        <is>
          <t>Р</t>
        </is>
      </c>
      <c r="F73" s="129" t="inlineStr">
        <is>
          <t>Р</t>
        </is>
      </c>
      <c r="G73" s="129" t="inlineStr">
        <is>
          <t>Р</t>
        </is>
      </c>
      <c r="H73" s="129" t="inlineStr">
        <is>
          <t>Р</t>
        </is>
      </c>
      <c r="I73" s="129" t="inlineStr">
        <is>
          <t>Р</t>
        </is>
      </c>
      <c r="J73" s="129" t="inlineStr">
        <is>
          <t>ВВ</t>
        </is>
      </c>
      <c r="K73" s="129" t="inlineStr">
        <is>
          <t>ВВ</t>
        </is>
      </c>
      <c r="L73" s="129" t="inlineStr">
        <is>
          <t>Р</t>
        </is>
      </c>
      <c r="M73" s="129" t="inlineStr">
        <is>
          <t>Р</t>
        </is>
      </c>
      <c r="N73" s="129" t="inlineStr">
        <is>
          <t>Р</t>
        </is>
      </c>
      <c r="O73" s="129" t="inlineStr">
        <is>
          <t>Р</t>
        </is>
      </c>
      <c r="P73" s="129" t="inlineStr">
        <is>
          <t>Р</t>
        </is>
      </c>
      <c r="Q73" s="129" t="inlineStr">
        <is>
          <t>ВВ</t>
        </is>
      </c>
      <c r="R73" s="129" t="inlineStr">
        <is>
          <t>ВВ</t>
        </is>
      </c>
      <c r="S73" s="129" t="inlineStr">
        <is>
          <t>ВД</t>
        </is>
      </c>
      <c r="T73" s="130" t="inlineStr">
        <is>
          <t>X</t>
        </is>
      </c>
      <c r="U73" s="119">
        <f>IF(COUNT(E73:T76)=0, "", COUNT(E73:T76))</f>
        <v/>
      </c>
      <c r="V73" s="120">
        <f>IF(SUM(E73:T76)=0, "",SUM(E73:T76))</f>
        <v/>
      </c>
      <c r="W73" s="120" t="n"/>
      <c r="X73" s="120" t="n"/>
      <c r="Y73" s="120" t="n"/>
      <c r="Z73" s="120">
        <f t="array" ref="Z73">IF(SUM(COUNTIF(E73:T76, {"В";"ВП";"ДД";"НА"}))=0, "", SUM(COUNTIF(E73:T76, {"В";"ВП";"ДД";"НА"})))</f>
        <v/>
      </c>
      <c r="AA73" s="131">
        <f>IF(COUNTIF(E73:T76, "ВВ")=0, "", COUNTIF(E73:T76, "ВВ"))</f>
        <v/>
      </c>
    </row>
    <row r="74">
      <c r="A74" s="108" t="n"/>
      <c r="B74" s="108" t="n"/>
      <c r="C74" s="122" t="n"/>
      <c r="D74" s="123" t="n"/>
      <c r="E74" s="129">
        <f>IF(OR(E73="ВД", E73="Р"), 8, IF(OR(E73="X", E73="Х"), "X", ""))</f>
        <v/>
      </c>
      <c r="F74" s="129">
        <f>IF(OR(F73="ВД", F73="Р"), 8, IF(OR(F73="X", F73="Х"), "X", ""))</f>
        <v/>
      </c>
      <c r="G74" s="129">
        <f>IF(OR(G73="ВД", G73="Р"), 8, IF(OR(G73="X", G73="Х"), "X", ""))</f>
        <v/>
      </c>
      <c r="H74" s="129">
        <f>IF(OR(H73="ВД", H73="Р"), 8, IF(OR(H73="X", H73="Х"), "X", ""))</f>
        <v/>
      </c>
      <c r="I74" s="129">
        <f>IF(OR(I73="ВД", I73="Р"), 8, IF(OR(I73="X", I73="Х"), "X", ""))</f>
        <v/>
      </c>
      <c r="J74" s="129">
        <f>IF(OR(J73="ВД", J73="Р"), 8, IF(OR(J73="X", J73="Х"), "X", ""))</f>
        <v/>
      </c>
      <c r="K74" s="129">
        <f>IF(OR(K73="ВД", K73="Р"), 8, IF(OR(K73="X", K73="Х"), "X", ""))</f>
        <v/>
      </c>
      <c r="L74" s="129">
        <f>IF(OR(L73="ВД", L73="Р"), 8, IF(OR(L73="X", L73="Х"), "X", ""))</f>
        <v/>
      </c>
      <c r="M74" s="129">
        <f>IF(OR(M73="ВД", M73="Р"), 8, IF(OR(M73="X", M73="Х"), "X", ""))</f>
        <v/>
      </c>
      <c r="N74" s="129">
        <f>IF(OR(N73="ВД", N73="Р"), 8, IF(OR(N73="X", N73="Х"), "X", ""))</f>
        <v/>
      </c>
      <c r="O74" s="129">
        <f>IF(OR(O73="ВД", O73="Р"), 8, IF(OR(O73="X", O73="Х"), "X", ""))</f>
        <v/>
      </c>
      <c r="P74" s="129">
        <f>IF(OR(P73="ВД", P73="Р"), 8, IF(OR(P73="X", P73="Х"), "X", ""))</f>
        <v/>
      </c>
      <c r="Q74" s="129">
        <f>IF(OR(Q73="ВД", Q73="Р"), 8, IF(OR(Q73="X", Q73="Х"), "X", ""))</f>
        <v/>
      </c>
      <c r="R74" s="129">
        <f>IF(OR(R73="ВД", R73="Р"), 8, IF(OR(R73="X", R73="Х"), "X", ""))</f>
        <v/>
      </c>
      <c r="S74" s="129">
        <f>IF(OR(S73="ВД", S73="Р"), 8, IF(OR(S73="X", S73="Х"), "X", ""))</f>
        <v/>
      </c>
      <c r="T74" s="129">
        <f>IF(OR(T73="ВД", T73="Р"), 8, IF(OR(T73="X", T73="Х"), "X", ""))</f>
        <v/>
      </c>
      <c r="U74" s="124" t="n"/>
      <c r="V74" s="123" t="n"/>
      <c r="W74" s="123" t="n"/>
      <c r="X74" s="123" t="n"/>
      <c r="Y74" s="123" t="n"/>
      <c r="Z74" s="123" t="n"/>
      <c r="AA74" s="125" t="n"/>
    </row>
    <row r="75">
      <c r="A75" s="108" t="n"/>
      <c r="B75" s="108" t="n"/>
      <c r="C75" s="122" t="n"/>
      <c r="D75" s="123" t="n"/>
      <c r="E75" s="129" t="inlineStr">
        <is>
          <t>ВД</t>
        </is>
      </c>
      <c r="F75" s="129" t="inlineStr">
        <is>
          <t>Р</t>
        </is>
      </c>
      <c r="G75" s="129" t="inlineStr">
        <is>
          <t>Р</t>
        </is>
      </c>
      <c r="H75" s="129" t="inlineStr">
        <is>
          <t>Р</t>
        </is>
      </c>
      <c r="I75" s="129" t="inlineStr">
        <is>
          <t>ВВ</t>
        </is>
      </c>
      <c r="J75" s="129" t="inlineStr">
        <is>
          <t>ВВ</t>
        </is>
      </c>
      <c r="K75" s="129" t="inlineStr">
        <is>
          <t>Р</t>
        </is>
      </c>
      <c r="L75" s="129" t="inlineStr">
        <is>
          <t>Р</t>
        </is>
      </c>
      <c r="M75" s="129" t="inlineStr">
        <is>
          <t>Р</t>
        </is>
      </c>
      <c r="N75" s="129" t="inlineStr">
        <is>
          <t>Р</t>
        </is>
      </c>
      <c r="O75" s="129" t="inlineStr">
        <is>
          <t>Р</t>
        </is>
      </c>
      <c r="P75" s="129" t="inlineStr">
        <is>
          <t>ВВ</t>
        </is>
      </c>
      <c r="Q75" s="129" t="inlineStr">
        <is>
          <t>ВВ</t>
        </is>
      </c>
      <c r="R75" s="129" t="inlineStr">
        <is>
          <t>Р</t>
        </is>
      </c>
      <c r="S75" s="129" t="inlineStr">
        <is>
          <t>Р</t>
        </is>
      </c>
      <c r="T75" s="130" t="inlineStr">
        <is>
          <t>X</t>
        </is>
      </c>
      <c r="U75" s="124" t="n"/>
      <c r="V75" s="123" t="n"/>
      <c r="W75" s="123" t="n"/>
      <c r="X75" s="123" t="n"/>
      <c r="Y75" s="123" t="n"/>
      <c r="Z75" s="123" t="n"/>
      <c r="AA75" s="125" t="n"/>
    </row>
    <row r="76">
      <c r="A76" s="115" t="n"/>
      <c r="B76" s="115" t="n"/>
      <c r="C76" s="112" t="n"/>
      <c r="D76" s="113" t="n"/>
      <c r="E76" s="129">
        <f>IF(OR(E75="ВД", E75="Р"), 8, IF(OR(E75="X", E75="Х"), "X", ""))</f>
        <v/>
      </c>
      <c r="F76" s="129">
        <f>IF(OR(F75="ВД", F75="Р"), 8, IF(OR(F75="X", F75="Х"), "X", ""))</f>
        <v/>
      </c>
      <c r="G76" s="129">
        <f>IF(OR(G75="ВД", G75="Р"), 8, IF(OR(G75="X", G75="Х"), "X", ""))</f>
        <v/>
      </c>
      <c r="H76" s="129">
        <f>IF(OR(H75="ВД", H75="Р"), 8, IF(OR(H75="X", H75="Х"), "X", ""))</f>
        <v/>
      </c>
      <c r="I76" s="129">
        <f>IF(OR(I75="ВД", I75="Р"), 8, IF(OR(I75="X", I75="Х"), "X", ""))</f>
        <v/>
      </c>
      <c r="J76" s="129">
        <f>IF(OR(J75="ВД", J75="Р"), 8, IF(OR(J75="X", J75="Х"), "X", ""))</f>
        <v/>
      </c>
      <c r="K76" s="129">
        <f>IF(OR(K75="ВД", K75="Р"), 8, IF(OR(K75="X", K75="Х"), "X", ""))</f>
        <v/>
      </c>
      <c r="L76" s="129">
        <f>IF(OR(L75="ВД", L75="Р"), 8, IF(OR(L75="X", L75="Х"), "X", ""))</f>
        <v/>
      </c>
      <c r="M76" s="129">
        <f>IF(OR(M75="ВД", M75="Р"), 8, IF(OR(M75="X", M75="Х"), "X", ""))</f>
        <v/>
      </c>
      <c r="N76" s="129">
        <f>IF(OR(N75="ВД", N75="Р"), 8, IF(OR(N75="X", N75="Х"), "X", ""))</f>
        <v/>
      </c>
      <c r="O76" s="129">
        <f>IF(OR(O75="ВД", O75="Р"), 8, IF(OR(O75="X", O75="Х"), "X", ""))</f>
        <v/>
      </c>
      <c r="P76" s="129">
        <f>IF(OR(P75="ВД", P75="Р"), 8, IF(OR(P75="X", P75="Х"), "X", ""))</f>
        <v/>
      </c>
      <c r="Q76" s="129">
        <f>IF(OR(Q75="ВД", Q75="Р"), 8, IF(OR(Q75="X", Q75="Х"), "X", ""))</f>
        <v/>
      </c>
      <c r="R76" s="129">
        <f>IF(OR(R75="ВД", R75="Р"), 8, IF(OR(R75="X", R75="Х"), "X", ""))</f>
        <v/>
      </c>
      <c r="S76" s="129">
        <f>IF(OR(S75="ВД", S75="Р"), 8, IF(OR(S75="X", S75="Х"), "X", ""))</f>
        <v/>
      </c>
      <c r="T76" s="129">
        <f>IF(OR(T75="ВД", T75="Р"), 8, IF(OR(T75="X", T75="Х"), "X", ""))</f>
        <v/>
      </c>
      <c r="U76" s="126" t="n"/>
      <c r="V76" s="113" t="n"/>
      <c r="W76" s="113" t="n"/>
      <c r="X76" s="113" t="n"/>
      <c r="Y76" s="113" t="n"/>
      <c r="Z76" s="113" t="n"/>
      <c r="AA76" s="114" t="n"/>
    </row>
    <row r="77">
      <c r="A77" s="127" t="n">
        <v>1</v>
      </c>
      <c r="B77" s="127" t="inlineStr">
        <is>
          <t>Стеценко
О. А.</t>
        </is>
      </c>
      <c r="C77" s="128">
        <f>INT((ROW()-13)/4)+1</f>
        <v/>
      </c>
      <c r="D77" s="120" t="inlineStr">
        <is>
          <t>ч</t>
        </is>
      </c>
      <c r="E77" s="129" t="inlineStr">
        <is>
          <t>Р</t>
        </is>
      </c>
      <c r="F77" s="129" t="inlineStr">
        <is>
          <t>Р</t>
        </is>
      </c>
      <c r="G77" s="129" t="inlineStr">
        <is>
          <t>Р</t>
        </is>
      </c>
      <c r="H77" s="129" t="inlineStr">
        <is>
          <t>Р</t>
        </is>
      </c>
      <c r="I77" s="129" t="inlineStr">
        <is>
          <t>Р</t>
        </is>
      </c>
      <c r="J77" s="129" t="inlineStr">
        <is>
          <t>ВВ</t>
        </is>
      </c>
      <c r="K77" s="129" t="inlineStr">
        <is>
          <t>ВВ</t>
        </is>
      </c>
      <c r="L77" s="129" t="inlineStr">
        <is>
          <t>Р</t>
        </is>
      </c>
      <c r="M77" s="129" t="inlineStr">
        <is>
          <t>Р</t>
        </is>
      </c>
      <c r="N77" s="129" t="inlineStr">
        <is>
          <t>Р</t>
        </is>
      </c>
      <c r="O77" s="129" t="inlineStr">
        <is>
          <t>Р</t>
        </is>
      </c>
      <c r="P77" s="129" t="inlineStr">
        <is>
          <t>Р</t>
        </is>
      </c>
      <c r="Q77" s="129" t="inlineStr">
        <is>
          <t>ВВ</t>
        </is>
      </c>
      <c r="R77" s="129" t="inlineStr">
        <is>
          <t>ВВ</t>
        </is>
      </c>
      <c r="S77" s="129" t="inlineStr">
        <is>
          <t>Р</t>
        </is>
      </c>
      <c r="T77" s="130" t="inlineStr">
        <is>
          <t>X</t>
        </is>
      </c>
      <c r="U77" s="119">
        <f>IF(COUNT(E77:T80)=0, "", COUNT(E77:T80))</f>
        <v/>
      </c>
      <c r="V77" s="120">
        <f>IF(SUM(E77:T80)=0, "",SUM(E77:T80))</f>
        <v/>
      </c>
      <c r="W77" s="120" t="n"/>
      <c r="X77" s="120" t="n"/>
      <c r="Y77" s="120" t="n"/>
      <c r="Z77" s="120">
        <f t="array" ref="Z77">IF(SUM(COUNTIF(E77:T80, {"В";"ВП";"ДД";"НА"}))=0, "", SUM(COUNTIF(E77:T80, {"В";"ВП";"ДД";"НА"})))</f>
        <v/>
      </c>
      <c r="AA77" s="131">
        <f>IF(COUNTIF(E77:T80, "ВВ")=0, "", COUNTIF(E77:T80, "ВВ"))</f>
        <v/>
      </c>
    </row>
    <row r="78">
      <c r="A78" s="108" t="n"/>
      <c r="B78" s="108" t="n"/>
      <c r="C78" s="122" t="n"/>
      <c r="D78" s="123" t="n"/>
      <c r="E78" s="129">
        <f>IF(OR(E77="ВД", E77="Р"), 8, IF(OR(E77="X", E77="Х"), "X", ""))</f>
        <v/>
      </c>
      <c r="F78" s="129">
        <f>IF(OR(F77="ВД", F77="Р"), 8, IF(OR(F77="X", F77="Х"), "X", ""))</f>
        <v/>
      </c>
      <c r="G78" s="129">
        <f>IF(OR(G77="ВД", G77="Р"), 8, IF(OR(G77="X", G77="Х"), "X", ""))</f>
        <v/>
      </c>
      <c r="H78" s="129">
        <f>IF(OR(H77="ВД", H77="Р"), 8, IF(OR(H77="X", H77="Х"), "X", ""))</f>
        <v/>
      </c>
      <c r="I78" s="129">
        <f>IF(OR(I77="ВД", I77="Р"), 8, IF(OR(I77="X", I77="Х"), "X", ""))</f>
        <v/>
      </c>
      <c r="J78" s="129">
        <f>IF(OR(J77="ВД", J77="Р"), 8, IF(OR(J77="X", J77="Х"), "X", ""))</f>
        <v/>
      </c>
      <c r="K78" s="129">
        <f>IF(OR(K77="ВД", K77="Р"), 8, IF(OR(K77="X", K77="Х"), "X", ""))</f>
        <v/>
      </c>
      <c r="L78" s="129">
        <f>IF(OR(L77="ВД", L77="Р"), 8, IF(OR(L77="X", L77="Х"), "X", ""))</f>
        <v/>
      </c>
      <c r="M78" s="129">
        <f>IF(OR(M77="ВД", M77="Р"), 8, IF(OR(M77="X", M77="Х"), "X", ""))</f>
        <v/>
      </c>
      <c r="N78" s="129">
        <f>IF(OR(N77="ВД", N77="Р"), 8, IF(OR(N77="X", N77="Х"), "X", ""))</f>
        <v/>
      </c>
      <c r="O78" s="129">
        <f>IF(OR(O77="ВД", O77="Р"), 8, IF(OR(O77="X", O77="Х"), "X", ""))</f>
        <v/>
      </c>
      <c r="P78" s="129">
        <f>IF(OR(P77="ВД", P77="Р"), 8, IF(OR(P77="X", P77="Х"), "X", ""))</f>
        <v/>
      </c>
      <c r="Q78" s="129">
        <f>IF(OR(Q77="ВД", Q77="Р"), 8, IF(OR(Q77="X", Q77="Х"), "X", ""))</f>
        <v/>
      </c>
      <c r="R78" s="129">
        <f>IF(OR(R77="ВД", R77="Р"), 8, IF(OR(R77="X", R77="Х"), "X", ""))</f>
        <v/>
      </c>
      <c r="S78" s="129">
        <f>IF(OR(S77="ВД", S77="Р"), 8, IF(OR(S77="X", S77="Х"), "X", ""))</f>
        <v/>
      </c>
      <c r="T78" s="129">
        <f>IF(OR(T77="ВД", T77="Р"), 8, IF(OR(T77="X", T77="Х"), "X", ""))</f>
        <v/>
      </c>
      <c r="U78" s="124" t="n"/>
      <c r="V78" s="123" t="n"/>
      <c r="W78" s="123" t="n"/>
      <c r="X78" s="123" t="n"/>
      <c r="Y78" s="123" t="n"/>
      <c r="Z78" s="123" t="n"/>
      <c r="AA78" s="125" t="n"/>
    </row>
    <row r="79">
      <c r="A79" s="108" t="n"/>
      <c r="B79" s="108" t="n"/>
      <c r="C79" s="122" t="n"/>
      <c r="D79" s="123" t="n"/>
      <c r="E79" s="129" t="inlineStr">
        <is>
          <t>Р</t>
        </is>
      </c>
      <c r="F79" s="129" t="inlineStr">
        <is>
          <t>Р</t>
        </is>
      </c>
      <c r="G79" s="129" t="inlineStr">
        <is>
          <t>Р</t>
        </is>
      </c>
      <c r="H79" s="129" t="inlineStr">
        <is>
          <t>ВД</t>
        </is>
      </c>
      <c r="I79" s="129" t="inlineStr">
        <is>
          <t>ВД</t>
        </is>
      </c>
      <c r="J79" s="129" t="inlineStr">
        <is>
          <t>ВВ</t>
        </is>
      </c>
      <c r="K79" s="129" t="inlineStr">
        <is>
          <t>Р</t>
        </is>
      </c>
      <c r="L79" s="129" t="inlineStr">
        <is>
          <t>Р</t>
        </is>
      </c>
      <c r="M79" s="129" t="inlineStr">
        <is>
          <t>Р</t>
        </is>
      </c>
      <c r="N79" s="129" t="inlineStr">
        <is>
          <t>Р</t>
        </is>
      </c>
      <c r="O79" s="129" t="inlineStr">
        <is>
          <t>Р</t>
        </is>
      </c>
      <c r="P79" s="129" t="inlineStr">
        <is>
          <t>ВВ</t>
        </is>
      </c>
      <c r="Q79" s="129" t="inlineStr">
        <is>
          <t>ВВ</t>
        </is>
      </c>
      <c r="R79" s="129" t="inlineStr">
        <is>
          <t>Р</t>
        </is>
      </c>
      <c r="S79" s="129" t="inlineStr">
        <is>
          <t>Р</t>
        </is>
      </c>
      <c r="T79" s="130" t="inlineStr">
        <is>
          <t>X</t>
        </is>
      </c>
      <c r="U79" s="124" t="n"/>
      <c r="V79" s="123" t="n"/>
      <c r="W79" s="123" t="n"/>
      <c r="X79" s="123" t="n"/>
      <c r="Y79" s="123" t="n"/>
      <c r="Z79" s="123" t="n"/>
      <c r="AA79" s="125" t="n"/>
    </row>
    <row r="80">
      <c r="A80" s="115" t="n"/>
      <c r="B80" s="115" t="n"/>
      <c r="C80" s="112" t="n"/>
      <c r="D80" s="113" t="n"/>
      <c r="E80" s="129">
        <f>IF(OR(E79="ВД", E79="Р"), 8, IF(OR(E79="X", E79="Х"), "X", ""))</f>
        <v/>
      </c>
      <c r="F80" s="129">
        <f>IF(OR(F79="ВД", F79="Р"), 8, IF(OR(F79="X", F79="Х"), "X", ""))</f>
        <v/>
      </c>
      <c r="G80" s="129">
        <f>IF(OR(G79="ВД", G79="Р"), 8, IF(OR(G79="X", G79="Х"), "X", ""))</f>
        <v/>
      </c>
      <c r="H80" s="129">
        <f>IF(OR(H79="ВД", H79="Р"), 8, IF(OR(H79="X", H79="Х"), "X", ""))</f>
        <v/>
      </c>
      <c r="I80" s="129">
        <f>IF(OR(I79="ВД", I79="Р"), 8, IF(OR(I79="X", I79="Х"), "X", ""))</f>
        <v/>
      </c>
      <c r="J80" s="129">
        <f>IF(OR(J79="ВД", J79="Р"), 8, IF(OR(J79="X", J79="Х"), "X", ""))</f>
        <v/>
      </c>
      <c r="K80" s="129">
        <f>IF(OR(K79="ВД", K79="Р"), 8, IF(OR(K79="X", K79="Х"), "X", ""))</f>
        <v/>
      </c>
      <c r="L80" s="129">
        <f>IF(OR(L79="ВД", L79="Р"), 8, IF(OR(L79="X", L79="Х"), "X", ""))</f>
        <v/>
      </c>
      <c r="M80" s="129">
        <f>IF(OR(M79="ВД", M79="Р"), 8, IF(OR(M79="X", M79="Х"), "X", ""))</f>
        <v/>
      </c>
      <c r="N80" s="129">
        <f>IF(OR(N79="ВД", N79="Р"), 8, IF(OR(N79="X", N79="Х"), "X", ""))</f>
        <v/>
      </c>
      <c r="O80" s="129">
        <f>IF(OR(O79="ВД", O79="Р"), 8, IF(OR(O79="X", O79="Х"), "X", ""))</f>
        <v/>
      </c>
      <c r="P80" s="129">
        <f>IF(OR(P79="ВД", P79="Р"), 8, IF(OR(P79="X", P79="Х"), "X", ""))</f>
        <v/>
      </c>
      <c r="Q80" s="129">
        <f>IF(OR(Q79="ВД", Q79="Р"), 8, IF(OR(Q79="X", Q79="Х"), "X", ""))</f>
        <v/>
      </c>
      <c r="R80" s="129">
        <f>IF(OR(R79="ВД", R79="Р"), 8, IF(OR(R79="X", R79="Х"), "X", ""))</f>
        <v/>
      </c>
      <c r="S80" s="129">
        <f>IF(OR(S79="ВД", S79="Р"), 8, IF(OR(S79="X", S79="Х"), "X", ""))</f>
        <v/>
      </c>
      <c r="T80" s="129">
        <f>IF(OR(T79="ВД", T79="Р"), 8, IF(OR(T79="X", T79="Х"), "X", ""))</f>
        <v/>
      </c>
      <c r="U80" s="126" t="n"/>
      <c r="V80" s="113" t="n"/>
      <c r="W80" s="113" t="n"/>
      <c r="X80" s="113" t="n"/>
      <c r="Y80" s="113" t="n"/>
      <c r="Z80" s="113" t="n"/>
      <c r="AA80" s="114" t="n"/>
    </row>
    <row r="81">
      <c r="A81" s="127" t="n">
        <v>1</v>
      </c>
      <c r="B81" s="127" t="inlineStr">
        <is>
          <t>Стеценко
О.</t>
        </is>
      </c>
      <c r="C81" s="128">
        <f>INT((ROW()-13)/4)+1</f>
        <v/>
      </c>
      <c r="D81" s="120" t="inlineStr">
        <is>
          <t>ч</t>
        </is>
      </c>
      <c r="E81" s="129" t="inlineStr">
        <is>
          <t>Р</t>
        </is>
      </c>
      <c r="F81" s="129" t="inlineStr">
        <is>
          <t>Р</t>
        </is>
      </c>
      <c r="G81" s="129" t="inlineStr">
        <is>
          <t>Р</t>
        </is>
      </c>
      <c r="H81" s="129" t="inlineStr">
        <is>
          <t>Р</t>
        </is>
      </c>
      <c r="I81" s="129" t="inlineStr">
        <is>
          <t>Р</t>
        </is>
      </c>
      <c r="J81" s="129" t="inlineStr">
        <is>
          <t>ВВ</t>
        </is>
      </c>
      <c r="K81" s="129" t="inlineStr">
        <is>
          <t>ВВ</t>
        </is>
      </c>
      <c r="L81" s="129" t="inlineStr">
        <is>
          <t>Р</t>
        </is>
      </c>
      <c r="M81" s="129" t="inlineStr">
        <is>
          <t>Р</t>
        </is>
      </c>
      <c r="N81" s="129" t="inlineStr">
        <is>
          <t>Р</t>
        </is>
      </c>
      <c r="O81" s="129" t="inlineStr">
        <is>
          <t>Р</t>
        </is>
      </c>
      <c r="P81" s="129" t="inlineStr">
        <is>
          <t>Р</t>
        </is>
      </c>
      <c r="Q81" s="129" t="inlineStr">
        <is>
          <t>ВВ</t>
        </is>
      </c>
      <c r="R81" s="129" t="inlineStr">
        <is>
          <t>ВВ</t>
        </is>
      </c>
      <c r="S81" s="129" t="inlineStr">
        <is>
          <t>Р</t>
        </is>
      </c>
      <c r="T81" s="130" t="inlineStr">
        <is>
          <t>X</t>
        </is>
      </c>
      <c r="U81" s="119">
        <f>IF(COUNT(E81:T84)=0, "", COUNT(E81:T84))</f>
        <v/>
      </c>
      <c r="V81" s="120">
        <f>IF(SUM(E81:T84)=0, "",SUM(E81:T84))</f>
        <v/>
      </c>
      <c r="W81" s="120" t="n"/>
      <c r="X81" s="120" t="n"/>
      <c r="Y81" s="120" t="n"/>
      <c r="Z81" s="120">
        <f t="array" ref="Z81">IF(SUM(COUNTIF(E81:T84, {"В";"ВП";"ДД";"НА"}))=0, "", SUM(COUNTIF(E81:T84, {"В";"ВП";"ДД";"НА"})))</f>
        <v/>
      </c>
      <c r="AA81" s="131">
        <f>IF(COUNTIF(E81:T84, "ВВ")=0, "", COUNTIF(E81:T84, "ВВ"))</f>
        <v/>
      </c>
    </row>
    <row r="82">
      <c r="A82" s="108" t="n"/>
      <c r="B82" s="108" t="n"/>
      <c r="C82" s="122" t="n"/>
      <c r="D82" s="123" t="n"/>
      <c r="E82" s="129">
        <f>IF(OR(E81="ВД", E81="Р"), 8, IF(OR(E81="X", E81="Х"), "X", ""))</f>
        <v/>
      </c>
      <c r="F82" s="129">
        <f>IF(OR(F81="ВД", F81="Р"), 8, IF(OR(F81="X", F81="Х"), "X", ""))</f>
        <v/>
      </c>
      <c r="G82" s="129">
        <f>IF(OR(G81="ВД", G81="Р"), 8, IF(OR(G81="X", G81="Х"), "X", ""))</f>
        <v/>
      </c>
      <c r="H82" s="129">
        <f>IF(OR(H81="ВД", H81="Р"), 8, IF(OR(H81="X", H81="Х"), "X", ""))</f>
        <v/>
      </c>
      <c r="I82" s="129">
        <f>IF(OR(I81="ВД", I81="Р"), 8, IF(OR(I81="X", I81="Х"), "X", ""))</f>
        <v/>
      </c>
      <c r="J82" s="129">
        <f>IF(OR(J81="ВД", J81="Р"), 8, IF(OR(J81="X", J81="Х"), "X", ""))</f>
        <v/>
      </c>
      <c r="K82" s="129">
        <f>IF(OR(K81="ВД", K81="Р"), 8, IF(OR(K81="X", K81="Х"), "X", ""))</f>
        <v/>
      </c>
      <c r="L82" s="129">
        <f>IF(OR(L81="ВД", L81="Р"), 8, IF(OR(L81="X", L81="Х"), "X", ""))</f>
        <v/>
      </c>
      <c r="M82" s="129">
        <f>IF(OR(M81="ВД", M81="Р"), 8, IF(OR(M81="X", M81="Х"), "X", ""))</f>
        <v/>
      </c>
      <c r="N82" s="129">
        <f>IF(OR(N81="ВД", N81="Р"), 8, IF(OR(N81="X", N81="Х"), "X", ""))</f>
        <v/>
      </c>
      <c r="O82" s="129">
        <f>IF(OR(O81="ВД", O81="Р"), 8, IF(OR(O81="X", O81="Х"), "X", ""))</f>
        <v/>
      </c>
      <c r="P82" s="129">
        <f>IF(OR(P81="ВД", P81="Р"), 8, IF(OR(P81="X", P81="Х"), "X", ""))</f>
        <v/>
      </c>
      <c r="Q82" s="129">
        <f>IF(OR(Q81="ВД", Q81="Р"), 8, IF(OR(Q81="X", Q81="Х"), "X", ""))</f>
        <v/>
      </c>
      <c r="R82" s="129">
        <f>IF(OR(R81="ВД", R81="Р"), 8, IF(OR(R81="X", R81="Х"), "X", ""))</f>
        <v/>
      </c>
      <c r="S82" s="129">
        <f>IF(OR(S81="ВД", S81="Р"), 8, IF(OR(S81="X", S81="Х"), "X", ""))</f>
        <v/>
      </c>
      <c r="T82" s="129">
        <f>IF(OR(T81="ВД", T81="Р"), 8, IF(OR(T81="X", T81="Х"), "X", ""))</f>
        <v/>
      </c>
      <c r="U82" s="124" t="n"/>
      <c r="V82" s="123" t="n"/>
      <c r="W82" s="123" t="n"/>
      <c r="X82" s="123" t="n"/>
      <c r="Y82" s="123" t="n"/>
      <c r="Z82" s="123" t="n"/>
      <c r="AA82" s="125" t="n"/>
    </row>
    <row r="83">
      <c r="A83" s="108" t="n"/>
      <c r="B83" s="108" t="n"/>
      <c r="C83" s="122" t="n"/>
      <c r="D83" s="123" t="n"/>
      <c r="E83" s="129" t="inlineStr">
        <is>
          <t>Р</t>
        </is>
      </c>
      <c r="F83" s="129" t="inlineStr">
        <is>
          <t>Р</t>
        </is>
      </c>
      <c r="G83" s="129" t="inlineStr">
        <is>
          <t>ВД</t>
        </is>
      </c>
      <c r="H83" s="129" t="inlineStr">
        <is>
          <t>Р</t>
        </is>
      </c>
      <c r="I83" s="129" t="inlineStr">
        <is>
          <t>ВВ</t>
        </is>
      </c>
      <c r="J83" s="129" t="inlineStr">
        <is>
          <t>ВВ</t>
        </is>
      </c>
      <c r="K83" s="129" t="inlineStr">
        <is>
          <t>Р</t>
        </is>
      </c>
      <c r="L83" s="129" t="inlineStr">
        <is>
          <t>ВД</t>
        </is>
      </c>
      <c r="M83" s="129" t="inlineStr">
        <is>
          <t>ВД</t>
        </is>
      </c>
      <c r="N83" s="129" t="inlineStr">
        <is>
          <t>Р</t>
        </is>
      </c>
      <c r="O83" s="129" t="inlineStr">
        <is>
          <t>Р</t>
        </is>
      </c>
      <c r="P83" s="129" t="inlineStr">
        <is>
          <t>ВВ</t>
        </is>
      </c>
      <c r="Q83" s="129" t="inlineStr">
        <is>
          <t>ВВ</t>
        </is>
      </c>
      <c r="R83" s="129" t="inlineStr">
        <is>
          <t>Р</t>
        </is>
      </c>
      <c r="S83" s="129" t="inlineStr">
        <is>
          <t>Р</t>
        </is>
      </c>
      <c r="T83" s="130" t="inlineStr">
        <is>
          <t>X</t>
        </is>
      </c>
      <c r="U83" s="124" t="n"/>
      <c r="V83" s="123" t="n"/>
      <c r="W83" s="123" t="n"/>
      <c r="X83" s="123" t="n"/>
      <c r="Y83" s="123" t="n"/>
      <c r="Z83" s="123" t="n"/>
      <c r="AA83" s="125" t="n"/>
    </row>
    <row r="84">
      <c r="A84" s="115" t="n"/>
      <c r="B84" s="115" t="n"/>
      <c r="C84" s="112" t="n"/>
      <c r="D84" s="113" t="n"/>
      <c r="E84" s="129">
        <f>IF(OR(E83="ВД", E83="Р"), 8, IF(OR(E83="X", E83="Х"), "X", ""))</f>
        <v/>
      </c>
      <c r="F84" s="129">
        <f>IF(OR(F83="ВД", F83="Р"), 8, IF(OR(F83="X", F83="Х"), "X", ""))</f>
        <v/>
      </c>
      <c r="G84" s="129">
        <f>IF(OR(G83="ВД", G83="Р"), 8, IF(OR(G83="X", G83="Х"), "X", ""))</f>
        <v/>
      </c>
      <c r="H84" s="129">
        <f>IF(OR(H83="ВД", H83="Р"), 8, IF(OR(H83="X", H83="Х"), "X", ""))</f>
        <v/>
      </c>
      <c r="I84" s="129">
        <f>IF(OR(I83="ВД", I83="Р"), 8, IF(OR(I83="X", I83="Х"), "X", ""))</f>
        <v/>
      </c>
      <c r="J84" s="129">
        <f>IF(OR(J83="ВД", J83="Р"), 8, IF(OR(J83="X", J83="Х"), "X", ""))</f>
        <v/>
      </c>
      <c r="K84" s="129">
        <f>IF(OR(K83="ВД", K83="Р"), 8, IF(OR(K83="X", K83="Х"), "X", ""))</f>
        <v/>
      </c>
      <c r="L84" s="129">
        <f>IF(OR(L83="ВД", L83="Р"), 8, IF(OR(L83="X", L83="Х"), "X", ""))</f>
        <v/>
      </c>
      <c r="M84" s="129">
        <f>IF(OR(M83="ВД", M83="Р"), 8, IF(OR(M83="X", M83="Х"), "X", ""))</f>
        <v/>
      </c>
      <c r="N84" s="129">
        <f>IF(OR(N83="ВД", N83="Р"), 8, IF(OR(N83="X", N83="Х"), "X", ""))</f>
        <v/>
      </c>
      <c r="O84" s="129">
        <f>IF(OR(O83="ВД", O83="Р"), 8, IF(OR(O83="X", O83="Х"), "X", ""))</f>
        <v/>
      </c>
      <c r="P84" s="129">
        <f>IF(OR(P83="ВД", P83="Р"), 8, IF(OR(P83="X", P83="Х"), "X", ""))</f>
        <v/>
      </c>
      <c r="Q84" s="129">
        <f>IF(OR(Q83="ВД", Q83="Р"), 8, IF(OR(Q83="X", Q83="Х"), "X", ""))</f>
        <v/>
      </c>
      <c r="R84" s="129">
        <f>IF(OR(R83="ВД", R83="Р"), 8, IF(OR(R83="X", R83="Х"), "X", ""))</f>
        <v/>
      </c>
      <c r="S84" s="129">
        <f>IF(OR(S83="ВД", S83="Р"), 8, IF(OR(S83="X", S83="Х"), "X", ""))</f>
        <v/>
      </c>
      <c r="T84" s="129">
        <f>IF(OR(T83="ВД", T83="Р"), 8, IF(OR(T83="X", T83="Х"), "X", ""))</f>
        <v/>
      </c>
      <c r="U84" s="126" t="n"/>
      <c r="V84" s="113" t="n"/>
      <c r="W84" s="113" t="n"/>
      <c r="X84" s="113" t="n"/>
      <c r="Y84" s="113" t="n"/>
      <c r="Z84" s="113" t="n"/>
      <c r="AA84" s="114" t="n"/>
    </row>
    <row r="85">
      <c r="A85" s="127" t="n">
        <v>1</v>
      </c>
      <c r="B85" s="127" t="inlineStr">
        <is>
          <t>Тертиця
В.</t>
        </is>
      </c>
      <c r="C85" s="128">
        <f>INT((ROW()-13)/4)+1</f>
        <v/>
      </c>
      <c r="D85" s="120" t="inlineStr">
        <is>
          <t>ч</t>
        </is>
      </c>
      <c r="E85" s="129" t="inlineStr">
        <is>
          <t>Р</t>
        </is>
      </c>
      <c r="F85" s="129" t="inlineStr">
        <is>
          <t>Р</t>
        </is>
      </c>
      <c r="G85" s="129" t="inlineStr">
        <is>
          <t>Р</t>
        </is>
      </c>
      <c r="H85" s="129" t="inlineStr">
        <is>
          <t>Р</t>
        </is>
      </c>
      <c r="I85" s="129" t="inlineStr">
        <is>
          <t>Р</t>
        </is>
      </c>
      <c r="J85" s="129" t="inlineStr">
        <is>
          <t>ВВ</t>
        </is>
      </c>
      <c r="K85" s="129" t="inlineStr">
        <is>
          <t>ВВ</t>
        </is>
      </c>
      <c r="L85" s="129" t="inlineStr">
        <is>
          <t>Р</t>
        </is>
      </c>
      <c r="M85" s="129" t="inlineStr">
        <is>
          <t>Р</t>
        </is>
      </c>
      <c r="N85" s="129" t="inlineStr">
        <is>
          <t>Р</t>
        </is>
      </c>
      <c r="O85" s="129" t="inlineStr">
        <is>
          <t>Р</t>
        </is>
      </c>
      <c r="P85" s="129" t="inlineStr">
        <is>
          <t>Р</t>
        </is>
      </c>
      <c r="Q85" s="129" t="inlineStr">
        <is>
          <t>ВВ</t>
        </is>
      </c>
      <c r="R85" s="129" t="inlineStr">
        <is>
          <t>ВВ</t>
        </is>
      </c>
      <c r="S85" s="129" t="inlineStr">
        <is>
          <t>Р</t>
        </is>
      </c>
      <c r="T85" s="130" t="inlineStr">
        <is>
          <t>X</t>
        </is>
      </c>
      <c r="U85" s="119">
        <f>IF(COUNT(E85:T88)=0, "", COUNT(E85:T88))</f>
        <v/>
      </c>
      <c r="V85" s="120">
        <f>IF(SUM(E85:T88)=0, "",SUM(E85:T88))</f>
        <v/>
      </c>
      <c r="W85" s="120" t="n"/>
      <c r="X85" s="120" t="n"/>
      <c r="Y85" s="120" t="n"/>
      <c r="Z85" s="120">
        <f t="array" ref="Z85">IF(SUM(COUNTIF(E85:T88, {"В";"ВП";"ДД";"НА"}))=0, "", SUM(COUNTIF(E85:T88, {"В";"ВП";"ДД";"НА"})))</f>
        <v/>
      </c>
      <c r="AA85" s="131">
        <f>IF(COUNTIF(E85:T88, "ВВ")=0, "", COUNTIF(E85:T88, "ВВ"))</f>
        <v/>
      </c>
    </row>
    <row r="86">
      <c r="A86" s="108" t="n"/>
      <c r="B86" s="108" t="n"/>
      <c r="C86" s="122" t="n"/>
      <c r="D86" s="123" t="n"/>
      <c r="E86" s="129">
        <f>IF(OR(E85="ВД", E85="Р"), 8, IF(OR(E85="X", E85="Х"), "X", ""))</f>
        <v/>
      </c>
      <c r="F86" s="129">
        <f>IF(OR(F85="ВД", F85="Р"), 8, IF(OR(F85="X", F85="Х"), "X", ""))</f>
        <v/>
      </c>
      <c r="G86" s="129">
        <f>IF(OR(G85="ВД", G85="Р"), 8, IF(OR(G85="X", G85="Х"), "X", ""))</f>
        <v/>
      </c>
      <c r="H86" s="129">
        <f>IF(OR(H85="ВД", H85="Р"), 8, IF(OR(H85="X", H85="Х"), "X", ""))</f>
        <v/>
      </c>
      <c r="I86" s="129">
        <f>IF(OR(I85="ВД", I85="Р"), 8, IF(OR(I85="X", I85="Х"), "X", ""))</f>
        <v/>
      </c>
      <c r="J86" s="129">
        <f>IF(OR(J85="ВД", J85="Р"), 8, IF(OR(J85="X", J85="Х"), "X", ""))</f>
        <v/>
      </c>
      <c r="K86" s="129">
        <f>IF(OR(K85="ВД", K85="Р"), 8, IF(OR(K85="X", K85="Х"), "X", ""))</f>
        <v/>
      </c>
      <c r="L86" s="129">
        <f>IF(OR(L85="ВД", L85="Р"), 8, IF(OR(L85="X", L85="Х"), "X", ""))</f>
        <v/>
      </c>
      <c r="M86" s="129">
        <f>IF(OR(M85="ВД", M85="Р"), 8, IF(OR(M85="X", M85="Х"), "X", ""))</f>
        <v/>
      </c>
      <c r="N86" s="129">
        <f>IF(OR(N85="ВД", N85="Р"), 8, IF(OR(N85="X", N85="Х"), "X", ""))</f>
        <v/>
      </c>
      <c r="O86" s="129">
        <f>IF(OR(O85="ВД", O85="Р"), 8, IF(OR(O85="X", O85="Х"), "X", ""))</f>
        <v/>
      </c>
      <c r="P86" s="129">
        <f>IF(OR(P85="ВД", P85="Р"), 8, IF(OR(P85="X", P85="Х"), "X", ""))</f>
        <v/>
      </c>
      <c r="Q86" s="129">
        <f>IF(OR(Q85="ВД", Q85="Р"), 8, IF(OR(Q85="X", Q85="Х"), "X", ""))</f>
        <v/>
      </c>
      <c r="R86" s="129">
        <f>IF(OR(R85="ВД", R85="Р"), 8, IF(OR(R85="X", R85="Х"), "X", ""))</f>
        <v/>
      </c>
      <c r="S86" s="129">
        <f>IF(OR(S85="ВД", S85="Р"), 8, IF(OR(S85="X", S85="Х"), "X", ""))</f>
        <v/>
      </c>
      <c r="T86" s="129">
        <f>IF(OR(T85="ВД", T85="Р"), 8, IF(OR(T85="X", T85="Х"), "X", ""))</f>
        <v/>
      </c>
      <c r="U86" s="124" t="n"/>
      <c r="V86" s="123" t="n"/>
      <c r="W86" s="123" t="n"/>
      <c r="X86" s="123" t="n"/>
      <c r="Y86" s="123" t="n"/>
      <c r="Z86" s="123" t="n"/>
      <c r="AA86" s="125" t="n"/>
    </row>
    <row r="87">
      <c r="A87" s="108" t="n"/>
      <c r="B87" s="108" t="n"/>
      <c r="C87" s="122" t="n"/>
      <c r="D87" s="123" t="n"/>
      <c r="E87" s="129" t="inlineStr">
        <is>
          <t>Р</t>
        </is>
      </c>
      <c r="F87" s="129" t="inlineStr">
        <is>
          <t>Р</t>
        </is>
      </c>
      <c r="G87" s="129" t="inlineStr">
        <is>
          <t>ВД</t>
        </is>
      </c>
      <c r="H87" s="129" t="inlineStr">
        <is>
          <t>ВД</t>
        </is>
      </c>
      <c r="I87" s="129" t="inlineStr">
        <is>
          <t>ВВ</t>
        </is>
      </c>
      <c r="J87" s="129" t="inlineStr">
        <is>
          <t>ВВ</t>
        </is>
      </c>
      <c r="K87" s="129" t="inlineStr">
        <is>
          <t>Р</t>
        </is>
      </c>
      <c r="L87" s="129" t="inlineStr">
        <is>
          <t>ВД</t>
        </is>
      </c>
      <c r="M87" s="129" t="inlineStr">
        <is>
          <t>ВД</t>
        </is>
      </c>
      <c r="N87" s="129" t="inlineStr">
        <is>
          <t>Р</t>
        </is>
      </c>
      <c r="O87" s="129" t="inlineStr">
        <is>
          <t>Р</t>
        </is>
      </c>
      <c r="P87" s="129" t="inlineStr">
        <is>
          <t>ВВ</t>
        </is>
      </c>
      <c r="Q87" s="129" t="inlineStr">
        <is>
          <t>ВВ</t>
        </is>
      </c>
      <c r="R87" s="129" t="inlineStr">
        <is>
          <t>Р</t>
        </is>
      </c>
      <c r="S87" s="129" t="inlineStr">
        <is>
          <t>Р</t>
        </is>
      </c>
      <c r="T87" s="130" t="inlineStr">
        <is>
          <t>X</t>
        </is>
      </c>
      <c r="U87" s="124" t="n"/>
      <c r="V87" s="123" t="n"/>
      <c r="W87" s="123" t="n"/>
      <c r="X87" s="123" t="n"/>
      <c r="Y87" s="123" t="n"/>
      <c r="Z87" s="123" t="n"/>
      <c r="AA87" s="125" t="n"/>
    </row>
    <row r="88">
      <c r="A88" s="115" t="n"/>
      <c r="B88" s="115" t="n"/>
      <c r="C88" s="112" t="n"/>
      <c r="D88" s="113" t="n"/>
      <c r="E88" s="129">
        <f>IF(OR(E87="ВД", E87="Р"), 8, IF(OR(E87="X", E87="Х"), "X", ""))</f>
        <v/>
      </c>
      <c r="F88" s="129">
        <f>IF(OR(F87="ВД", F87="Р"), 8, IF(OR(F87="X", F87="Х"), "X", ""))</f>
        <v/>
      </c>
      <c r="G88" s="129">
        <f>IF(OR(G87="ВД", G87="Р"), 8, IF(OR(G87="X", G87="Х"), "X", ""))</f>
        <v/>
      </c>
      <c r="H88" s="129">
        <f>IF(OR(H87="ВД", H87="Р"), 8, IF(OR(H87="X", H87="Х"), "X", ""))</f>
        <v/>
      </c>
      <c r="I88" s="129">
        <f>IF(OR(I87="ВД", I87="Р"), 8, IF(OR(I87="X", I87="Х"), "X", ""))</f>
        <v/>
      </c>
      <c r="J88" s="129">
        <f>IF(OR(J87="ВД", J87="Р"), 8, IF(OR(J87="X", J87="Х"), "X", ""))</f>
        <v/>
      </c>
      <c r="K88" s="129">
        <f>IF(OR(K87="ВД", K87="Р"), 8, IF(OR(K87="X", K87="Х"), "X", ""))</f>
        <v/>
      </c>
      <c r="L88" s="129">
        <f>IF(OR(L87="ВД", L87="Р"), 8, IF(OR(L87="X", L87="Х"), "X", ""))</f>
        <v/>
      </c>
      <c r="M88" s="129">
        <f>IF(OR(M87="ВД", M87="Р"), 8, IF(OR(M87="X", M87="Х"), "X", ""))</f>
        <v/>
      </c>
      <c r="N88" s="129">
        <f>IF(OR(N87="ВД", N87="Р"), 8, IF(OR(N87="X", N87="Х"), "X", ""))</f>
        <v/>
      </c>
      <c r="O88" s="129">
        <f>IF(OR(O87="ВД", O87="Р"), 8, IF(OR(O87="X", O87="Х"), "X", ""))</f>
        <v/>
      </c>
      <c r="P88" s="129">
        <f>IF(OR(P87="ВД", P87="Р"), 8, IF(OR(P87="X", P87="Х"), "X", ""))</f>
        <v/>
      </c>
      <c r="Q88" s="129">
        <f>IF(OR(Q87="ВД", Q87="Р"), 8, IF(OR(Q87="X", Q87="Х"), "X", ""))</f>
        <v/>
      </c>
      <c r="R88" s="129">
        <f>IF(OR(R87="ВД", R87="Р"), 8, IF(OR(R87="X", R87="Х"), "X", ""))</f>
        <v/>
      </c>
      <c r="S88" s="129">
        <f>IF(OR(S87="ВД", S87="Р"), 8, IF(OR(S87="X", S87="Х"), "X", ""))</f>
        <v/>
      </c>
      <c r="T88" s="129">
        <f>IF(OR(T87="ВД", T87="Р"), 8, IF(OR(T87="X", T87="Х"), "X", ""))</f>
        <v/>
      </c>
      <c r="U88" s="126" t="n"/>
      <c r="V88" s="113" t="n"/>
      <c r="W88" s="113" t="n"/>
      <c r="X88" s="113" t="n"/>
      <c r="Y88" s="113" t="n"/>
      <c r="Z88" s="113" t="n"/>
      <c r="AA88" s="114" t="n"/>
    </row>
    <row r="89">
      <c r="A89" s="127" t="n">
        <v>1</v>
      </c>
      <c r="B89" s="127" t="inlineStr">
        <is>
          <t>Ткаченко
О.</t>
        </is>
      </c>
      <c r="C89" s="128">
        <f>INT((ROW()-13)/4)+1</f>
        <v/>
      </c>
      <c r="D89" s="120" t="inlineStr">
        <is>
          <t>ч</t>
        </is>
      </c>
      <c r="E89" s="129" t="inlineStr">
        <is>
          <t>Р</t>
        </is>
      </c>
      <c r="F89" s="129" t="inlineStr">
        <is>
          <t>Р</t>
        </is>
      </c>
      <c r="G89" s="129" t="inlineStr">
        <is>
          <t>Р</t>
        </is>
      </c>
      <c r="H89" s="129" t="inlineStr">
        <is>
          <t>Р</t>
        </is>
      </c>
      <c r="I89" s="129" t="inlineStr">
        <is>
          <t>Р</t>
        </is>
      </c>
      <c r="J89" s="129" t="inlineStr">
        <is>
          <t>ВВ</t>
        </is>
      </c>
      <c r="K89" s="129" t="inlineStr">
        <is>
          <t>ВВ</t>
        </is>
      </c>
      <c r="L89" s="129" t="inlineStr">
        <is>
          <t>Р</t>
        </is>
      </c>
      <c r="M89" s="129" t="inlineStr">
        <is>
          <t>Р</t>
        </is>
      </c>
      <c r="N89" s="129" t="inlineStr">
        <is>
          <t>Р</t>
        </is>
      </c>
      <c r="O89" s="129" t="inlineStr">
        <is>
          <t>Р</t>
        </is>
      </c>
      <c r="P89" s="129" t="inlineStr">
        <is>
          <t>Р</t>
        </is>
      </c>
      <c r="Q89" s="129" t="inlineStr">
        <is>
          <t>ВВ</t>
        </is>
      </c>
      <c r="R89" s="129" t="inlineStr">
        <is>
          <t>ВВ</t>
        </is>
      </c>
      <c r="S89" s="129" t="inlineStr">
        <is>
          <t>Р</t>
        </is>
      </c>
      <c r="T89" s="130" t="inlineStr">
        <is>
          <t>X</t>
        </is>
      </c>
      <c r="U89" s="119">
        <f>IF(COUNT(E89:T92)=0, "", COUNT(E89:T92))</f>
        <v/>
      </c>
      <c r="V89" s="120">
        <f>IF(SUM(E89:T92)=0, "",SUM(E89:T92))</f>
        <v/>
      </c>
      <c r="W89" s="120" t="n"/>
      <c r="X89" s="120" t="n"/>
      <c r="Y89" s="120" t="n"/>
      <c r="Z89" s="120">
        <f t="array" ref="Z89">IF(SUM(COUNTIF(E89:T92, {"В";"ВП";"ДД";"НА"}))=0, "", SUM(COUNTIF(E89:T92, {"В";"ВП";"ДД";"НА"})))</f>
        <v/>
      </c>
      <c r="AA89" s="131">
        <f>IF(COUNTIF(E89:T92, "ВВ")=0, "", COUNTIF(E89:T92, "ВВ"))</f>
        <v/>
      </c>
    </row>
    <row r="90">
      <c r="A90" s="108" t="n"/>
      <c r="B90" s="108" t="n"/>
      <c r="C90" s="122" t="n"/>
      <c r="D90" s="123" t="n"/>
      <c r="E90" s="129">
        <f>IF(OR(E89="ВД", E89="Р"), 8, IF(OR(E89="X", E89="Х"), "X", ""))</f>
        <v/>
      </c>
      <c r="F90" s="129">
        <f>IF(OR(F89="ВД", F89="Р"), 8, IF(OR(F89="X", F89="Х"), "X", ""))</f>
        <v/>
      </c>
      <c r="G90" s="129">
        <f>IF(OR(G89="ВД", G89="Р"), 8, IF(OR(G89="X", G89="Х"), "X", ""))</f>
        <v/>
      </c>
      <c r="H90" s="129">
        <f>IF(OR(H89="ВД", H89="Р"), 8, IF(OR(H89="X", H89="Х"), "X", ""))</f>
        <v/>
      </c>
      <c r="I90" s="129">
        <f>IF(OR(I89="ВД", I89="Р"), 8, IF(OR(I89="X", I89="Х"), "X", ""))</f>
        <v/>
      </c>
      <c r="J90" s="129">
        <f>IF(OR(J89="ВД", J89="Р"), 8, IF(OR(J89="X", J89="Х"), "X", ""))</f>
        <v/>
      </c>
      <c r="K90" s="129">
        <f>IF(OR(K89="ВД", K89="Р"), 8, IF(OR(K89="X", K89="Х"), "X", ""))</f>
        <v/>
      </c>
      <c r="L90" s="129">
        <f>IF(OR(L89="ВД", L89="Р"), 8, IF(OR(L89="X", L89="Х"), "X", ""))</f>
        <v/>
      </c>
      <c r="M90" s="129">
        <f>IF(OR(M89="ВД", M89="Р"), 8, IF(OR(M89="X", M89="Х"), "X", ""))</f>
        <v/>
      </c>
      <c r="N90" s="129">
        <f>IF(OR(N89="ВД", N89="Р"), 8, IF(OR(N89="X", N89="Х"), "X", ""))</f>
        <v/>
      </c>
      <c r="O90" s="129">
        <f>IF(OR(O89="ВД", O89="Р"), 8, IF(OR(O89="X", O89="Х"), "X", ""))</f>
        <v/>
      </c>
      <c r="P90" s="129">
        <f>IF(OR(P89="ВД", P89="Р"), 8, IF(OR(P89="X", P89="Х"), "X", ""))</f>
        <v/>
      </c>
      <c r="Q90" s="129">
        <f>IF(OR(Q89="ВД", Q89="Р"), 8, IF(OR(Q89="X", Q89="Х"), "X", ""))</f>
        <v/>
      </c>
      <c r="R90" s="129">
        <f>IF(OR(R89="ВД", R89="Р"), 8, IF(OR(R89="X", R89="Х"), "X", ""))</f>
        <v/>
      </c>
      <c r="S90" s="129">
        <f>IF(OR(S89="ВД", S89="Р"), 8, IF(OR(S89="X", S89="Х"), "X", ""))</f>
        <v/>
      </c>
      <c r="T90" s="129">
        <f>IF(OR(T89="ВД", T89="Р"), 8, IF(OR(T89="X", T89="Х"), "X", ""))</f>
        <v/>
      </c>
      <c r="U90" s="124" t="n"/>
      <c r="V90" s="123" t="n"/>
      <c r="W90" s="123" t="n"/>
      <c r="X90" s="123" t="n"/>
      <c r="Y90" s="123" t="n"/>
      <c r="Z90" s="123" t="n"/>
      <c r="AA90" s="125" t="n"/>
    </row>
    <row r="91">
      <c r="A91" s="108" t="n"/>
      <c r="B91" s="108" t="n"/>
      <c r="C91" s="122" t="n"/>
      <c r="D91" s="123" t="n"/>
      <c r="E91" s="129" t="inlineStr">
        <is>
          <t>Р</t>
        </is>
      </c>
      <c r="F91" s="129" t="inlineStr">
        <is>
          <t>Р</t>
        </is>
      </c>
      <c r="G91" s="129" t="inlineStr">
        <is>
          <t>Р</t>
        </is>
      </c>
      <c r="H91" s="129" t="inlineStr">
        <is>
          <t>ВД</t>
        </is>
      </c>
      <c r="I91" s="129" t="inlineStr">
        <is>
          <t>ВД</t>
        </is>
      </c>
      <c r="J91" s="129" t="inlineStr">
        <is>
          <t>ВВ</t>
        </is>
      </c>
      <c r="K91" s="129" t="inlineStr">
        <is>
          <t>Р</t>
        </is>
      </c>
      <c r="L91" s="129" t="inlineStr">
        <is>
          <t>Р</t>
        </is>
      </c>
      <c r="M91" s="129" t="inlineStr">
        <is>
          <t>Р</t>
        </is>
      </c>
      <c r="N91" s="129" t="inlineStr">
        <is>
          <t>Р</t>
        </is>
      </c>
      <c r="O91" s="129" t="inlineStr">
        <is>
          <t>Р</t>
        </is>
      </c>
      <c r="P91" s="129" t="inlineStr">
        <is>
          <t>ВВ</t>
        </is>
      </c>
      <c r="Q91" s="129" t="inlineStr">
        <is>
          <t>ВВ</t>
        </is>
      </c>
      <c r="R91" s="129" t="inlineStr">
        <is>
          <t>Р</t>
        </is>
      </c>
      <c r="S91" s="129" t="inlineStr">
        <is>
          <t>Р</t>
        </is>
      </c>
      <c r="T91" s="130" t="inlineStr">
        <is>
          <t>X</t>
        </is>
      </c>
      <c r="U91" s="124" t="n"/>
      <c r="V91" s="123" t="n"/>
      <c r="W91" s="123" t="n"/>
      <c r="X91" s="123" t="n"/>
      <c r="Y91" s="123" t="n"/>
      <c r="Z91" s="123" t="n"/>
      <c r="AA91" s="125" t="n"/>
    </row>
    <row r="92">
      <c r="A92" s="115" t="n"/>
      <c r="B92" s="115" t="n"/>
      <c r="C92" s="112" t="n"/>
      <c r="D92" s="113" t="n"/>
      <c r="E92" s="129">
        <f>IF(OR(E91="ВД", E91="Р"), 8, IF(OR(E91="X", E91="Х"), "X", ""))</f>
        <v/>
      </c>
      <c r="F92" s="129">
        <f>IF(OR(F91="ВД", F91="Р"), 8, IF(OR(F91="X", F91="Х"), "X", ""))</f>
        <v/>
      </c>
      <c r="G92" s="129">
        <f>IF(OR(G91="ВД", G91="Р"), 8, IF(OR(G91="X", G91="Х"), "X", ""))</f>
        <v/>
      </c>
      <c r="H92" s="129">
        <f>IF(OR(H91="ВД", H91="Р"), 8, IF(OR(H91="X", H91="Х"), "X", ""))</f>
        <v/>
      </c>
      <c r="I92" s="129">
        <f>IF(OR(I91="ВД", I91="Р"), 8, IF(OR(I91="X", I91="Х"), "X", ""))</f>
        <v/>
      </c>
      <c r="J92" s="129">
        <f>IF(OR(J91="ВД", J91="Р"), 8, IF(OR(J91="X", J91="Х"), "X", ""))</f>
        <v/>
      </c>
      <c r="K92" s="129">
        <f>IF(OR(K91="ВД", K91="Р"), 8, IF(OR(K91="X", K91="Х"), "X", ""))</f>
        <v/>
      </c>
      <c r="L92" s="129">
        <f>IF(OR(L91="ВД", L91="Р"), 8, IF(OR(L91="X", L91="Х"), "X", ""))</f>
        <v/>
      </c>
      <c r="M92" s="129">
        <f>IF(OR(M91="ВД", M91="Р"), 8, IF(OR(M91="X", M91="Х"), "X", ""))</f>
        <v/>
      </c>
      <c r="N92" s="129">
        <f>IF(OR(N91="ВД", N91="Р"), 8, IF(OR(N91="X", N91="Х"), "X", ""))</f>
        <v/>
      </c>
      <c r="O92" s="129">
        <f>IF(OR(O91="ВД", O91="Р"), 8, IF(OR(O91="X", O91="Х"), "X", ""))</f>
        <v/>
      </c>
      <c r="P92" s="129">
        <f>IF(OR(P91="ВД", P91="Р"), 8, IF(OR(P91="X", P91="Х"), "X", ""))</f>
        <v/>
      </c>
      <c r="Q92" s="129">
        <f>IF(OR(Q91="ВД", Q91="Р"), 8, IF(OR(Q91="X", Q91="Х"), "X", ""))</f>
        <v/>
      </c>
      <c r="R92" s="129">
        <f>IF(OR(R91="ВД", R91="Р"), 8, IF(OR(R91="X", R91="Х"), "X", ""))</f>
        <v/>
      </c>
      <c r="S92" s="129">
        <f>IF(OR(S91="ВД", S91="Р"), 8, IF(OR(S91="X", S91="Х"), "X", ""))</f>
        <v/>
      </c>
      <c r="T92" s="129">
        <f>IF(OR(T91="ВД", T91="Р"), 8, IF(OR(T91="X", T91="Х"), "X", ""))</f>
        <v/>
      </c>
      <c r="U92" s="126" t="n"/>
      <c r="V92" s="113" t="n"/>
      <c r="W92" s="113" t="n"/>
      <c r="X92" s="113" t="n"/>
      <c r="Y92" s="113" t="n"/>
      <c r="Z92" s="113" t="n"/>
      <c r="AA92" s="114" t="n"/>
    </row>
    <row r="93">
      <c r="A93" s="127" t="n">
        <v>1</v>
      </c>
      <c r="B93" s="127" t="inlineStr">
        <is>
          <t>Шевельов
О.</t>
        </is>
      </c>
      <c r="C93" s="128">
        <f>INT((ROW()-13)/4)+1</f>
        <v/>
      </c>
      <c r="D93" s="120" t="inlineStr">
        <is>
          <t>ч</t>
        </is>
      </c>
      <c r="E93" s="129" t="inlineStr">
        <is>
          <t>Р</t>
        </is>
      </c>
      <c r="F93" s="129" t="inlineStr">
        <is>
          <t>Р</t>
        </is>
      </c>
      <c r="G93" s="129" t="inlineStr">
        <is>
          <t>Р</t>
        </is>
      </c>
      <c r="H93" s="129" t="inlineStr">
        <is>
          <t>Р</t>
        </is>
      </c>
      <c r="I93" s="129" t="inlineStr">
        <is>
          <t>Р</t>
        </is>
      </c>
      <c r="J93" s="129" t="inlineStr">
        <is>
          <t>ВВ</t>
        </is>
      </c>
      <c r="K93" s="129" t="inlineStr">
        <is>
          <t>ВВ</t>
        </is>
      </c>
      <c r="L93" s="129" t="inlineStr">
        <is>
          <t>Р</t>
        </is>
      </c>
      <c r="M93" s="129" t="inlineStr">
        <is>
          <t>Р</t>
        </is>
      </c>
      <c r="N93" s="129" t="inlineStr">
        <is>
          <t>Р</t>
        </is>
      </c>
      <c r="O93" s="129" t="inlineStr">
        <is>
          <t>Р</t>
        </is>
      </c>
      <c r="P93" s="129" t="inlineStr">
        <is>
          <t>Р</t>
        </is>
      </c>
      <c r="Q93" s="129" t="inlineStr">
        <is>
          <t>ВВ</t>
        </is>
      </c>
      <c r="R93" s="129" t="inlineStr">
        <is>
          <t>ВВ</t>
        </is>
      </c>
      <c r="S93" s="129" t="inlineStr">
        <is>
          <t>Р</t>
        </is>
      </c>
      <c r="T93" s="130" t="inlineStr">
        <is>
          <t>X</t>
        </is>
      </c>
      <c r="U93" s="119">
        <f>IF(COUNT(E93:T96)=0, "", COUNT(E93:T96))</f>
        <v/>
      </c>
      <c r="V93" s="120">
        <f>IF(SUM(E93:T96)=0, "",SUM(E93:T96))</f>
        <v/>
      </c>
      <c r="W93" s="120" t="n"/>
      <c r="X93" s="120" t="n"/>
      <c r="Y93" s="120" t="n"/>
      <c r="Z93" s="120">
        <f t="array" ref="Z93">IF(SUM(COUNTIF(E93:T96, {"В";"ВП";"ДД";"НА"}))=0, "", SUM(COUNTIF(E93:T96, {"В";"ВП";"ДД";"НА"})))</f>
        <v/>
      </c>
      <c r="AA93" s="131">
        <f>IF(COUNTIF(E93:T96, "ВВ")=0, "", COUNTIF(E93:T96, "ВВ"))</f>
        <v/>
      </c>
    </row>
    <row r="94">
      <c r="A94" s="108" t="n"/>
      <c r="B94" s="108" t="n"/>
      <c r="C94" s="122" t="n"/>
      <c r="D94" s="123" t="n"/>
      <c r="E94" s="129">
        <f>IF(OR(E93="ВД", E93="Р"), 8, IF(OR(E93="X", E93="Х"), "X", ""))</f>
        <v/>
      </c>
      <c r="F94" s="129">
        <f>IF(OR(F93="ВД", F93="Р"), 8, IF(OR(F93="X", F93="Х"), "X", ""))</f>
        <v/>
      </c>
      <c r="G94" s="129">
        <f>IF(OR(G93="ВД", G93="Р"), 8, IF(OR(G93="X", G93="Х"), "X", ""))</f>
        <v/>
      </c>
      <c r="H94" s="129">
        <f>IF(OR(H93="ВД", H93="Р"), 8, IF(OR(H93="X", H93="Х"), "X", ""))</f>
        <v/>
      </c>
      <c r="I94" s="129">
        <f>IF(OR(I93="ВД", I93="Р"), 8, IF(OR(I93="X", I93="Х"), "X", ""))</f>
        <v/>
      </c>
      <c r="J94" s="129">
        <f>IF(OR(J93="ВД", J93="Р"), 8, IF(OR(J93="X", J93="Х"), "X", ""))</f>
        <v/>
      </c>
      <c r="K94" s="129">
        <f>IF(OR(K93="ВД", K93="Р"), 8, IF(OR(K93="X", K93="Х"), "X", ""))</f>
        <v/>
      </c>
      <c r="L94" s="129">
        <f>IF(OR(L93="ВД", L93="Р"), 8, IF(OR(L93="X", L93="Х"), "X", ""))</f>
        <v/>
      </c>
      <c r="M94" s="129">
        <f>IF(OR(M93="ВД", M93="Р"), 8, IF(OR(M93="X", M93="Х"), "X", ""))</f>
        <v/>
      </c>
      <c r="N94" s="129">
        <f>IF(OR(N93="ВД", N93="Р"), 8, IF(OR(N93="X", N93="Х"), "X", ""))</f>
        <v/>
      </c>
      <c r="O94" s="129">
        <f>IF(OR(O93="ВД", O93="Р"), 8, IF(OR(O93="X", O93="Х"), "X", ""))</f>
        <v/>
      </c>
      <c r="P94" s="129">
        <f>IF(OR(P93="ВД", P93="Р"), 8, IF(OR(P93="X", P93="Х"), "X", ""))</f>
        <v/>
      </c>
      <c r="Q94" s="129">
        <f>IF(OR(Q93="ВД", Q93="Р"), 8, IF(OR(Q93="X", Q93="Х"), "X", ""))</f>
        <v/>
      </c>
      <c r="R94" s="129">
        <f>IF(OR(R93="ВД", R93="Р"), 8, IF(OR(R93="X", R93="Х"), "X", ""))</f>
        <v/>
      </c>
      <c r="S94" s="129">
        <f>IF(OR(S93="ВД", S93="Р"), 8, IF(OR(S93="X", S93="Х"), "X", ""))</f>
        <v/>
      </c>
      <c r="T94" s="129">
        <f>IF(OR(T93="ВД", T93="Р"), 8, IF(OR(T93="X", T93="Х"), "X", ""))</f>
        <v/>
      </c>
      <c r="U94" s="124" t="n"/>
      <c r="V94" s="123" t="n"/>
      <c r="W94" s="123" t="n"/>
      <c r="X94" s="123" t="n"/>
      <c r="Y94" s="123" t="n"/>
      <c r="Z94" s="123" t="n"/>
      <c r="AA94" s="125" t="n"/>
    </row>
    <row r="95">
      <c r="A95" s="108" t="n"/>
      <c r="B95" s="108" t="n"/>
      <c r="C95" s="122" t="n"/>
      <c r="D95" s="123" t="n"/>
      <c r="E95" s="129" t="inlineStr">
        <is>
          <t>Р</t>
        </is>
      </c>
      <c r="F95" s="129" t="inlineStr">
        <is>
          <t>Р</t>
        </is>
      </c>
      <c r="G95" s="129" t="inlineStr">
        <is>
          <t>ВД</t>
        </is>
      </c>
      <c r="H95" s="129" t="inlineStr">
        <is>
          <t>ВД</t>
        </is>
      </c>
      <c r="I95" s="129" t="inlineStr">
        <is>
          <t>ВВ</t>
        </is>
      </c>
      <c r="J95" s="129" t="inlineStr">
        <is>
          <t>ВВ</t>
        </is>
      </c>
      <c r="K95" s="129" t="inlineStr">
        <is>
          <t>Р</t>
        </is>
      </c>
      <c r="L95" s="129" t="inlineStr">
        <is>
          <t>Р</t>
        </is>
      </c>
      <c r="M95" s="129" t="inlineStr">
        <is>
          <t>Р</t>
        </is>
      </c>
      <c r="N95" s="129" t="inlineStr">
        <is>
          <t>Р</t>
        </is>
      </c>
      <c r="O95" s="129" t="inlineStr">
        <is>
          <t>Р</t>
        </is>
      </c>
      <c r="P95" s="129" t="inlineStr">
        <is>
          <t>ВВ</t>
        </is>
      </c>
      <c r="Q95" s="129" t="inlineStr">
        <is>
          <t>ВВ</t>
        </is>
      </c>
      <c r="R95" s="129" t="inlineStr">
        <is>
          <t>Р</t>
        </is>
      </c>
      <c r="S95" s="129" t="inlineStr">
        <is>
          <t>Р</t>
        </is>
      </c>
      <c r="T95" s="130" t="inlineStr">
        <is>
          <t>X</t>
        </is>
      </c>
      <c r="U95" s="124" t="n"/>
      <c r="V95" s="123" t="n"/>
      <c r="W95" s="123" t="n"/>
      <c r="X95" s="123" t="n"/>
      <c r="Y95" s="123" t="n"/>
      <c r="Z95" s="123" t="n"/>
      <c r="AA95" s="125" t="n"/>
    </row>
    <row r="96">
      <c r="A96" s="115" t="n"/>
      <c r="B96" s="115" t="n"/>
      <c r="C96" s="112" t="n"/>
      <c r="D96" s="113" t="n"/>
      <c r="E96" s="129">
        <f>IF(OR(E95="ВД", E95="Р"), 8, IF(OR(E95="X", E95="Х"), "X", ""))</f>
        <v/>
      </c>
      <c r="F96" s="129">
        <f>IF(OR(F95="ВД", F95="Р"), 8, IF(OR(F95="X", F95="Х"), "X", ""))</f>
        <v/>
      </c>
      <c r="G96" s="129">
        <f>IF(OR(G95="ВД", G95="Р"), 8, IF(OR(G95="X", G95="Х"), "X", ""))</f>
        <v/>
      </c>
      <c r="H96" s="129">
        <f>IF(OR(H95="ВД", H95="Р"), 8, IF(OR(H95="X", H95="Х"), "X", ""))</f>
        <v/>
      </c>
      <c r="I96" s="129">
        <f>IF(OR(I95="ВД", I95="Р"), 8, IF(OR(I95="X", I95="Х"), "X", ""))</f>
        <v/>
      </c>
      <c r="J96" s="129">
        <f>IF(OR(J95="ВД", J95="Р"), 8, IF(OR(J95="X", J95="Х"), "X", ""))</f>
        <v/>
      </c>
      <c r="K96" s="129">
        <f>IF(OR(K95="ВД", K95="Р"), 8, IF(OR(K95="X", K95="Х"), "X", ""))</f>
        <v/>
      </c>
      <c r="L96" s="129">
        <f>IF(OR(L95="ВД", L95="Р"), 8, IF(OR(L95="X", L95="Х"), "X", ""))</f>
        <v/>
      </c>
      <c r="M96" s="129">
        <f>IF(OR(M95="ВД", M95="Р"), 8, IF(OR(M95="X", M95="Х"), "X", ""))</f>
        <v/>
      </c>
      <c r="N96" s="129">
        <f>IF(OR(N95="ВД", N95="Р"), 8, IF(OR(N95="X", N95="Х"), "X", ""))</f>
        <v/>
      </c>
      <c r="O96" s="129">
        <f>IF(OR(O95="ВД", O95="Р"), 8, IF(OR(O95="X", O95="Х"), "X", ""))</f>
        <v/>
      </c>
      <c r="P96" s="129">
        <f>IF(OR(P95="ВД", P95="Р"), 8, IF(OR(P95="X", P95="Х"), "X", ""))</f>
        <v/>
      </c>
      <c r="Q96" s="129">
        <f>IF(OR(Q95="ВД", Q95="Р"), 8, IF(OR(Q95="X", Q95="Х"), "X", ""))</f>
        <v/>
      </c>
      <c r="R96" s="129">
        <f>IF(OR(R95="ВД", R95="Р"), 8, IF(OR(R95="X", R95="Х"), "X", ""))</f>
        <v/>
      </c>
      <c r="S96" s="129">
        <f>IF(OR(S95="ВД", S95="Р"), 8, IF(OR(S95="X", S95="Х"), "X", ""))</f>
        <v/>
      </c>
      <c r="T96" s="129">
        <f>IF(OR(T95="ВД", T95="Р"), 8, IF(OR(T95="X", T95="Х"), "X", ""))</f>
        <v/>
      </c>
      <c r="U96" s="126" t="n"/>
      <c r="V96" s="113" t="n"/>
      <c r="W96" s="113" t="n"/>
      <c r="X96" s="113" t="n"/>
      <c r="Y96" s="113" t="n"/>
      <c r="Z96" s="113" t="n"/>
      <c r="AA96" s="114" t="n"/>
    </row>
    <row r="97">
      <c r="A97" s="38" t="n"/>
      <c r="B97" s="38" t="inlineStr">
        <is>
          <t>Разом</t>
        </is>
      </c>
      <c r="C97" s="132" t="n"/>
      <c r="D97" s="133" t="n"/>
      <c r="E97" s="133" t="n"/>
      <c r="F97" s="133" t="n"/>
      <c r="G97" s="133" t="n"/>
      <c r="H97" s="133" t="n"/>
      <c r="I97" s="133" t="n"/>
      <c r="J97" s="133" t="n"/>
      <c r="K97" s="133" t="n"/>
      <c r="L97" s="133" t="n"/>
      <c r="M97" s="133" t="n"/>
      <c r="N97" s="133" t="n"/>
      <c r="O97" s="133" t="n"/>
      <c r="P97" s="133" t="n"/>
      <c r="Q97" s="133" t="n"/>
      <c r="R97" s="133" t="n"/>
      <c r="S97" s="133" t="n"/>
      <c r="T97" s="134" t="n"/>
      <c r="U97" s="24">
        <f>IF(SUM(U13:U96)=0, "", SUM(U13:U96))</f>
        <v/>
      </c>
      <c r="V97" s="24">
        <f>IF(SUM(V13:V96)=0, "", SUM(V13:V96))</f>
        <v/>
      </c>
      <c r="W97" s="24">
        <f>IF(SUM(W13:W96)=0, "", SUM(W13:W96))</f>
        <v/>
      </c>
      <c r="X97" s="24">
        <f>IF(SUM(X13:X96)=0, "", SUM(X13:X96))</f>
        <v/>
      </c>
      <c r="Y97" s="24">
        <f>IF(SUM(Y13:Y96)=0, "", SUM(Y13:Y96))</f>
        <v/>
      </c>
      <c r="Z97" s="24">
        <f>IF(SUM(Z13:Z96)=0, "", SUM(Z13:Z96))</f>
        <v/>
      </c>
      <c r="AA97" s="24">
        <f>IF(SUM(AA13:AA96)=0, "", SUM(AA13:AA96))</f>
        <v/>
      </c>
    </row>
    <row r="98">
      <c r="A98" s="135" t="n"/>
      <c r="B98" s="135" t="n"/>
      <c r="C98" s="136" t="n"/>
      <c r="D98" s="137" t="n"/>
      <c r="E98" s="137" t="n"/>
      <c r="F98" s="137" t="n"/>
      <c r="G98" s="137" t="n"/>
      <c r="H98" s="137" t="n"/>
      <c r="I98" s="137" t="n"/>
      <c r="J98" s="137" t="n"/>
      <c r="K98" s="137" t="n"/>
      <c r="L98" s="137" t="n"/>
      <c r="M98" s="137" t="n"/>
      <c r="N98" s="137" t="n"/>
      <c r="O98" s="137" t="n"/>
      <c r="P98" s="137" t="n"/>
      <c r="Q98" s="137" t="n"/>
      <c r="R98" s="137" t="n"/>
      <c r="S98" s="137" t="n"/>
      <c r="T98" s="138" t="n"/>
      <c r="U98" s="135" t="n"/>
      <c r="V98" s="135" t="n"/>
      <c r="W98" s="135" t="n"/>
      <c r="X98" s="135" t="n"/>
      <c r="Y98" s="135" t="n"/>
      <c r="Z98" s="135" t="n"/>
      <c r="AA98" s="135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5" t="n"/>
      <c r="K99" s="15" t="n"/>
      <c r="L99" s="14" t="n"/>
      <c r="M99" s="14" t="n"/>
      <c r="N99" s="15" t="n"/>
      <c r="O99" s="15" t="n"/>
      <c r="P99" s="14" t="n"/>
      <c r="Q99" s="14" t="n"/>
      <c r="R99" s="14" t="n"/>
      <c r="S99" s="14" t="n"/>
      <c r="T99" s="15" t="n"/>
      <c r="U99" s="16" t="n"/>
      <c r="V99" s="16" t="n"/>
      <c r="W99" s="16" t="n"/>
      <c r="X99" s="16" t="n"/>
      <c r="Y99" s="16" t="n"/>
      <c r="Z99" s="16" t="n"/>
      <c r="AA99" s="14" t="n"/>
    </row>
    <row r="100">
      <c r="A100" s="14" t="n"/>
      <c r="B100" s="14" t="n"/>
      <c r="C100" s="14" t="n"/>
      <c r="D100" s="26" t="inlineStr">
        <is>
          <t>Директор</t>
        </is>
      </c>
      <c r="E100" s="139" t="n"/>
      <c r="F100" s="139" t="n"/>
      <c r="G100" s="139" t="n"/>
      <c r="H100" s="139" t="n"/>
      <c r="I100" s="140" t="n"/>
      <c r="J100" s="17" t="n"/>
      <c r="K100" s="141" t="n"/>
      <c r="L100" s="139" t="n"/>
      <c r="M100" s="140" t="n"/>
      <c r="N100" s="17" t="n"/>
      <c r="O100" s="142" t="inlineStr">
        <is>
          <t>Урда Анна Олександрівна</t>
        </is>
      </c>
      <c r="P100" s="139" t="n"/>
      <c r="Q100" s="139" t="n"/>
      <c r="R100" s="139" t="n"/>
      <c r="S100" s="140" t="n"/>
      <c r="T100" s="17" t="n"/>
      <c r="U100" s="16" t="n"/>
      <c r="V100" s="16" t="n"/>
      <c r="W100" s="16" t="n"/>
      <c r="X100" s="16" t="n"/>
      <c r="Y100" s="16" t="n"/>
      <c r="Z100" s="16" t="n"/>
      <c r="AA100" s="14" t="n"/>
    </row>
    <row r="101">
      <c r="A101" s="1" t="n"/>
      <c r="B101" s="6" t="n"/>
      <c r="C101" s="1" t="n"/>
      <c r="D101" s="143" t="inlineStr">
        <is>
          <t>посада</t>
        </is>
      </c>
      <c r="E101" s="144" t="n"/>
      <c r="F101" s="144" t="n"/>
      <c r="G101" s="144" t="n"/>
      <c r="H101" s="144" t="n"/>
      <c r="I101" s="145" t="n"/>
      <c r="J101" s="1" t="n"/>
      <c r="K101" s="143" t="inlineStr">
        <is>
          <t>особистий підпис</t>
        </is>
      </c>
      <c r="L101" s="144" t="n"/>
      <c r="M101" s="145" t="n"/>
      <c r="N101" s="1" t="n"/>
      <c r="O101" s="143" t="inlineStr">
        <is>
          <t>розшифровка підпису</t>
        </is>
      </c>
      <c r="P101" s="144" t="n"/>
      <c r="Q101" s="144" t="n"/>
      <c r="R101" s="144" t="n"/>
      <c r="S101" s="145" t="n"/>
      <c r="T101" s="1" t="n"/>
      <c r="U101" s="1" t="n"/>
      <c r="V101" s="18" t="n"/>
      <c r="W101" s="1" t="n"/>
      <c r="X101" s="1" t="n"/>
      <c r="Y101" s="1" t="n"/>
      <c r="Z101" s="1" t="n"/>
      <c r="AA101" s="1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1" t="n"/>
      <c r="Z102" s="1" t="n"/>
      <c r="AA102" s="1" t="n"/>
    </row>
    <row r="103">
      <c r="A103" s="1" t="n"/>
      <c r="B103" s="4" t="n"/>
      <c r="C103" s="146" t="inlineStr">
        <is>
          <t>Позначки у табелі:</t>
        </is>
      </c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8" t="n"/>
      <c r="Y103" s="1" t="n"/>
      <c r="Z103" s="1" t="n"/>
      <c r="AA103" s="1" t="n"/>
    </row>
    <row r="104">
      <c r="A104" s="1" t="n"/>
      <c r="B104" s="4" t="n"/>
      <c r="C104" s="12" t="inlineStr">
        <is>
          <t>Р</t>
        </is>
      </c>
      <c r="D104" s="12" t="inlineStr">
        <is>
          <t>-</t>
        </is>
      </c>
      <c r="E104" s="147" t="inlineStr">
        <is>
          <t>Години роботи, передбачені колдоговором</t>
        </is>
      </c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8" t="n"/>
      <c r="Y104" s="1" t="n"/>
      <c r="Z104" s="1" t="n"/>
      <c r="AA104" s="1" t="n"/>
    </row>
    <row r="105">
      <c r="A105" s="1" t="n"/>
      <c r="B105" s="4" t="n"/>
      <c r="C105" s="12" t="inlineStr">
        <is>
          <t>ВВ</t>
        </is>
      </c>
      <c r="D105" s="12" t="inlineStr">
        <is>
          <t>-</t>
        </is>
      </c>
      <c r="E105" s="147" t="inlineStr">
        <is>
          <t>Вихідні та святкові дні</t>
        </is>
      </c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8" t="n"/>
      <c r="Y105" s="1" t="n"/>
      <c r="Z105" s="1" t="n"/>
      <c r="AA105" s="1" t="n"/>
    </row>
    <row r="106">
      <c r="A106" s="1" t="n"/>
      <c r="B106" s="4" t="n"/>
      <c r="C106" s="12" t="inlineStr">
        <is>
          <t>ВЧ</t>
        </is>
      </c>
      <c r="D106" s="12" t="inlineStr">
        <is>
          <t>-</t>
        </is>
      </c>
      <c r="E106" s="147" t="inlineStr">
        <is>
          <t>Вечірні години роботи</t>
        </is>
      </c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8" t="n"/>
      <c r="Y106" s="1" t="n"/>
      <c r="Z106" s="1" t="n"/>
      <c r="AA106" s="1" t="n"/>
    </row>
    <row r="107">
      <c r="A107" s="1" t="n"/>
      <c r="B107" s="4" t="n"/>
      <c r="C107" s="12" t="inlineStr">
        <is>
          <t>РН</t>
        </is>
      </c>
      <c r="D107" s="12" t="inlineStr">
        <is>
          <t>-</t>
        </is>
      </c>
      <c r="E107" s="147" t="inlineStr">
        <is>
          <t>Нічні години роботи</t>
        </is>
      </c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8" t="n"/>
      <c r="Y107" s="1" t="n"/>
      <c r="Z107" s="1" t="n"/>
      <c r="AA107" s="1" t="n"/>
    </row>
    <row r="108">
      <c r="A108" s="1" t="n"/>
      <c r="B108" s="4" t="n"/>
      <c r="C108" s="12" t="inlineStr">
        <is>
          <t>НУ</t>
        </is>
      </c>
      <c r="D108" s="12" t="inlineStr">
        <is>
          <t>-</t>
        </is>
      </c>
      <c r="E108" s="147" t="inlineStr">
        <is>
          <t>Надурочні години роботи</t>
        </is>
      </c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8" t="n"/>
      <c r="Y108" s="1" t="n"/>
      <c r="Z108" s="1" t="n"/>
      <c r="AA108" s="1" t="n"/>
    </row>
    <row r="109">
      <c r="A109" s="1" t="n"/>
      <c r="B109" s="4" t="n"/>
      <c r="C109" s="12" t="inlineStr">
        <is>
          <t>РВ</t>
        </is>
      </c>
      <c r="D109" s="12" t="inlineStr">
        <is>
          <t>-</t>
        </is>
      </c>
      <c r="E109" s="147" t="inlineStr">
        <is>
          <t>Години роботи у вихідні та святкові дні</t>
        </is>
      </c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8" t="n"/>
      <c r="Y109" s="1" t="n"/>
      <c r="Z109" s="1" t="n"/>
      <c r="AA109" s="1" t="n"/>
    </row>
    <row r="110">
      <c r="A110" s="1" t="n"/>
      <c r="B110" s="4" t="n"/>
      <c r="C110" s="12" t="inlineStr">
        <is>
          <t>ВД</t>
        </is>
      </c>
      <c r="D110" s="12" t="inlineStr">
        <is>
          <t>-</t>
        </is>
      </c>
      <c r="E110" s="147" t="inlineStr">
        <is>
          <t>Відрядження</t>
        </is>
      </c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8" t="n"/>
      <c r="Y110" s="1" t="n"/>
      <c r="Z110" s="1" t="n"/>
      <c r="AA110" s="1" t="n"/>
    </row>
    <row r="111">
      <c r="A111" s="1" t="n"/>
      <c r="B111" s="4" t="n"/>
      <c r="C111" s="12" t="inlineStr">
        <is>
          <t>В</t>
        </is>
      </c>
      <c r="D111" s="12" t="inlineStr">
        <is>
          <t>-</t>
        </is>
      </c>
      <c r="E111" s="147" t="inlineStr">
        <is>
          <t>Основна щорічна відпустка (ст.6 Закону України "Про відпустки")</t>
        </is>
      </c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8" t="n"/>
      <c r="Y111" s="1" t="n"/>
      <c r="Z111" s="1" t="n"/>
      <c r="AA111" s="1" t="n"/>
    </row>
    <row r="112">
      <c r="A112" s="1" t="n"/>
      <c r="B112" s="4" t="n"/>
      <c r="C112" s="12" t="inlineStr">
        <is>
          <t>ВП</t>
        </is>
      </c>
      <c r="D112" s="12" t="inlineStr">
        <is>
          <t>-</t>
        </is>
      </c>
      <c r="E112" s="147" t="inlineStr">
        <is>
          <t>Відпустка у зв’язку з вагітністю і пологами (стаття 17 Закону України "Про відпустки") та відпустка для догляду за дитиною до досягнення нею трирічного віку (ст. 18 Закону України «Про відпустки»)</t>
        </is>
      </c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8" t="n"/>
      <c r="Y112" s="1" t="n"/>
      <c r="Z112" s="1" t="n"/>
      <c r="AA112" s="1" t="n"/>
    </row>
    <row r="113">
      <c r="A113" s="1" t="n"/>
      <c r="B113" s="4" t="n"/>
      <c r="C113" s="12" t="inlineStr">
        <is>
          <t>ДД</t>
        </is>
      </c>
      <c r="D113" s="12" t="inlineStr">
        <is>
          <t>-</t>
        </is>
      </c>
      <c r="E113" s="147" t="inlineStr">
        <is>
          <t>Відпустка для догляду за дитиною до досягнення нею 6-ти річного віку (ст. 25 п.3 Закону України "Про відпустки")</t>
        </is>
      </c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8" t="n"/>
      <c r="Y113" s="1" t="n"/>
      <c r="Z113" s="1" t="n"/>
      <c r="AA113" s="1" t="n"/>
    </row>
    <row r="114">
      <c r="A114" s="1" t="n"/>
      <c r="B114" s="4" t="n"/>
      <c r="C114" s="12" t="inlineStr">
        <is>
          <t>НА</t>
        </is>
      </c>
      <c r="D114" s="12" t="inlineStr">
        <is>
          <t>-</t>
        </is>
      </c>
      <c r="E114" s="147" t="inlineStr">
        <is>
          <t>Відпустка без збереження заробітної плати за згодою сторін (стаття 26 Закону України "Про відпустки")</t>
        </is>
      </c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8" t="n"/>
      <c r="Y114" s="1" t="n"/>
      <c r="Z114" s="1" t="n"/>
      <c r="AA114" s="1" t="n"/>
    </row>
    <row r="115">
      <c r="A115" s="1" t="n"/>
      <c r="B115" s="4" t="n"/>
      <c r="C115" s="12" t="inlineStr">
        <is>
          <t>П</t>
        </is>
      </c>
      <c r="D115" s="12" t="inlineStr">
        <is>
          <t>-</t>
        </is>
      </c>
      <c r="E115" s="147" t="inlineStr">
        <is>
          <t>Простої</t>
        </is>
      </c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8" t="n"/>
      <c r="Y115" s="1" t="n"/>
      <c r="Z115" s="1" t="n"/>
      <c r="AA115" s="1" t="n"/>
    </row>
    <row r="116">
      <c r="A116" s="1" t="n"/>
      <c r="B116" s="4" t="n"/>
      <c r="C116" s="12" t="inlineStr">
        <is>
          <t>ПР</t>
        </is>
      </c>
      <c r="D116" s="12" t="inlineStr">
        <is>
          <t>-</t>
        </is>
      </c>
      <c r="E116" s="147" t="inlineStr">
        <is>
          <t>Прогули</t>
        </is>
      </c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8" t="n"/>
      <c r="Y116" s="1" t="n"/>
      <c r="Z116" s="1" t="n"/>
      <c r="AA116" s="1" t="n"/>
    </row>
    <row r="117">
      <c r="A117" s="1" t="n"/>
      <c r="B117" s="4" t="n"/>
      <c r="C117" s="12" t="inlineStr">
        <is>
          <t>ТН</t>
        </is>
      </c>
      <c r="D117" s="12" t="inlineStr">
        <is>
          <t>-</t>
        </is>
      </c>
      <c r="E117" s="147" t="inlineStr">
        <is>
          <t>Оплачувана тимчасова непрацездатність</t>
        </is>
      </c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8" t="n"/>
      <c r="Y117" s="1" t="n"/>
      <c r="Z117" s="1" t="n"/>
      <c r="AA117" s="1" t="n"/>
    </row>
    <row r="118">
      <c r="A118" s="1" t="n"/>
      <c r="B118" s="4" t="n"/>
      <c r="C118" s="12" t="inlineStr">
        <is>
          <t>І</t>
        </is>
      </c>
      <c r="D118" s="12" t="inlineStr">
        <is>
          <t>-</t>
        </is>
      </c>
      <c r="E118" s="147" t="inlineStr">
        <is>
          <t>Інші причини неявок</t>
        </is>
      </c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8" t="n"/>
      <c r="Y118" s="1" t="n"/>
      <c r="Z118" s="1" t="n"/>
      <c r="AA118" s="1" t="n"/>
    </row>
  </sheetData>
  <mergeCells count="301">
    <mergeCell ref="H9:H10"/>
    <mergeCell ref="J9:J10"/>
    <mergeCell ref="W25:W28"/>
    <mergeCell ref="W37:W40"/>
    <mergeCell ref="Y21:Y24"/>
    <mergeCell ref="U45:U48"/>
    <mergeCell ref="W45:W48"/>
    <mergeCell ref="B61:B64"/>
    <mergeCell ref="Z93:Z96"/>
    <mergeCell ref="W41:W44"/>
    <mergeCell ref="D61:D64"/>
    <mergeCell ref="V69:V72"/>
    <mergeCell ref="E12:T12"/>
    <mergeCell ref="D45:D48"/>
    <mergeCell ref="A37:A40"/>
    <mergeCell ref="Z53:Z56"/>
    <mergeCell ref="B53:B56"/>
    <mergeCell ref="A8:A11"/>
    <mergeCell ref="C8:C11"/>
    <mergeCell ref="A17:A20"/>
    <mergeCell ref="A53:A56"/>
    <mergeCell ref="V2:AA2"/>
    <mergeCell ref="C57:C60"/>
    <mergeCell ref="A93:A96"/>
    <mergeCell ref="AA85:AA88"/>
    <mergeCell ref="K9:K10"/>
    <mergeCell ref="M9:M10"/>
    <mergeCell ref="O9:O10"/>
    <mergeCell ref="V37:V40"/>
    <mergeCell ref="B41:B44"/>
    <mergeCell ref="AA81:AA84"/>
    <mergeCell ref="B97:B98"/>
    <mergeCell ref="K100:M100"/>
    <mergeCell ref="V12:Z12"/>
    <mergeCell ref="V73:V76"/>
    <mergeCell ref="D49:D52"/>
    <mergeCell ref="Y29:Y32"/>
    <mergeCell ref="X57:X60"/>
    <mergeCell ref="Z57:Z60"/>
    <mergeCell ref="V93:V96"/>
    <mergeCell ref="Z41:Z44"/>
    <mergeCell ref="V77:V80"/>
    <mergeCell ref="U13:U16"/>
    <mergeCell ref="A21:A24"/>
    <mergeCell ref="C21:C24"/>
    <mergeCell ref="U97:U98"/>
    <mergeCell ref="W97:W98"/>
    <mergeCell ref="D93:D96"/>
    <mergeCell ref="Y13:Y16"/>
    <mergeCell ref="B69:B72"/>
    <mergeCell ref="AA89:AA92"/>
    <mergeCell ref="D25:D28"/>
    <mergeCell ref="D53:D56"/>
    <mergeCell ref="Y37:Y40"/>
    <mergeCell ref="Y49:Y52"/>
    <mergeCell ref="A57:A60"/>
    <mergeCell ref="U73:U76"/>
    <mergeCell ref="G9:G10"/>
    <mergeCell ref="E110:X110"/>
    <mergeCell ref="I9:I10"/>
    <mergeCell ref="V25:V28"/>
    <mergeCell ref="W57:W60"/>
    <mergeCell ref="Y57:Y60"/>
    <mergeCell ref="AA8:AA11"/>
    <mergeCell ref="V21:V24"/>
    <mergeCell ref="X21:X24"/>
    <mergeCell ref="Y41:Y44"/>
    <mergeCell ref="V61:V64"/>
    <mergeCell ref="X61:X64"/>
    <mergeCell ref="Y93:Y96"/>
    <mergeCell ref="Z61:Z64"/>
    <mergeCell ref="V97:V98"/>
    <mergeCell ref="AA93:AA96"/>
    <mergeCell ref="C89:C92"/>
    <mergeCell ref="AA77:AA80"/>
    <mergeCell ref="A69:A72"/>
    <mergeCell ref="A25:A28"/>
    <mergeCell ref="C85:C88"/>
    <mergeCell ref="X97:X98"/>
    <mergeCell ref="Z97:Z98"/>
    <mergeCell ref="X53:X56"/>
    <mergeCell ref="B8:B11"/>
    <mergeCell ref="Y17:Y20"/>
    <mergeCell ref="B73:B76"/>
    <mergeCell ref="U8:Z8"/>
    <mergeCell ref="B57:B60"/>
    <mergeCell ref="V85:V88"/>
    <mergeCell ref="D57:D60"/>
    <mergeCell ref="X65:X68"/>
    <mergeCell ref="L9:L10"/>
    <mergeCell ref="D41:D44"/>
    <mergeCell ref="N9:N10"/>
    <mergeCell ref="Y25:Y28"/>
    <mergeCell ref="AA25:AA28"/>
    <mergeCell ref="W61:W64"/>
    <mergeCell ref="V89:V92"/>
    <mergeCell ref="E108:X108"/>
    <mergeCell ref="A29:A32"/>
    <mergeCell ref="U37:U40"/>
    <mergeCell ref="A97:A98"/>
    <mergeCell ref="X89:X92"/>
    <mergeCell ref="X25:X28"/>
    <mergeCell ref="Y45:Y48"/>
    <mergeCell ref="E104:X104"/>
    <mergeCell ref="A13:A16"/>
    <mergeCell ref="R9:R10"/>
    <mergeCell ref="C13:C16"/>
    <mergeCell ref="U89:U92"/>
    <mergeCell ref="AA61:AA64"/>
    <mergeCell ref="W73:W76"/>
    <mergeCell ref="C37:C40"/>
    <mergeCell ref="A73:A76"/>
    <mergeCell ref="U81:U84"/>
    <mergeCell ref="U65:U68"/>
    <mergeCell ref="W65:W68"/>
    <mergeCell ref="C73:C76"/>
    <mergeCell ref="B21:B24"/>
    <mergeCell ref="E106:X106"/>
    <mergeCell ref="D21:D24"/>
    <mergeCell ref="V29:V32"/>
    <mergeCell ref="C93:C96"/>
    <mergeCell ref="W89:W92"/>
    <mergeCell ref="V13:V16"/>
    <mergeCell ref="X13:X16"/>
    <mergeCell ref="U17:U20"/>
    <mergeCell ref="C25:C28"/>
    <mergeCell ref="Q9:Q10"/>
    <mergeCell ref="S9:S10"/>
    <mergeCell ref="A41:A44"/>
    <mergeCell ref="W10:Z10"/>
    <mergeCell ref="E107:X107"/>
    <mergeCell ref="X37:X40"/>
    <mergeCell ref="A33:A36"/>
    <mergeCell ref="Z37:Z40"/>
    <mergeCell ref="U9:U11"/>
    <mergeCell ref="C17:C20"/>
    <mergeCell ref="X73:X76"/>
    <mergeCell ref="C97:T98"/>
    <mergeCell ref="U21:U24"/>
    <mergeCell ref="Z73:Z76"/>
    <mergeCell ref="Y3:AA3"/>
    <mergeCell ref="B65:B68"/>
    <mergeCell ref="X93:X96"/>
    <mergeCell ref="U85:U88"/>
    <mergeCell ref="Y61:Y64"/>
    <mergeCell ref="O100:S100"/>
    <mergeCell ref="Y33:Y36"/>
    <mergeCell ref="U69:U72"/>
    <mergeCell ref="W13:W16"/>
    <mergeCell ref="Z65:Z68"/>
    <mergeCell ref="W69:W72"/>
    <mergeCell ref="B89:B92"/>
    <mergeCell ref="B25:B28"/>
    <mergeCell ref="B85:B88"/>
    <mergeCell ref="V33:V36"/>
    <mergeCell ref="AA29:AA32"/>
    <mergeCell ref="W53:W56"/>
    <mergeCell ref="E112:X112"/>
    <mergeCell ref="D85:D88"/>
    <mergeCell ref="Y53:Y56"/>
    <mergeCell ref="Y97:Y98"/>
    <mergeCell ref="AA97:AA98"/>
    <mergeCell ref="E109:X109"/>
    <mergeCell ref="AA13:AA16"/>
    <mergeCell ref="V17:V20"/>
    <mergeCell ref="A61:A64"/>
    <mergeCell ref="X17:X20"/>
    <mergeCell ref="D69:D72"/>
    <mergeCell ref="A45:A48"/>
    <mergeCell ref="B77:B80"/>
    <mergeCell ref="C45:C48"/>
    <mergeCell ref="D77:D80"/>
    <mergeCell ref="E111:X111"/>
    <mergeCell ref="Y73:Y76"/>
    <mergeCell ref="AA73:AA76"/>
    <mergeCell ref="A65:A68"/>
    <mergeCell ref="C65:C68"/>
    <mergeCell ref="AA57:AA60"/>
    <mergeCell ref="B29:B32"/>
    <mergeCell ref="U25:U28"/>
    <mergeCell ref="V9:Z9"/>
    <mergeCell ref="B13:B16"/>
    <mergeCell ref="D13:D16"/>
    <mergeCell ref="E105:X105"/>
    <mergeCell ref="X69:X72"/>
    <mergeCell ref="B37:B40"/>
    <mergeCell ref="W17:W20"/>
    <mergeCell ref="V45:V48"/>
    <mergeCell ref="X45:X48"/>
    <mergeCell ref="D100:I100"/>
    <mergeCell ref="D89:D92"/>
    <mergeCell ref="G6:P6"/>
    <mergeCell ref="E116:X116"/>
    <mergeCell ref="D8:D11"/>
    <mergeCell ref="V65:V68"/>
    <mergeCell ref="E113:X113"/>
    <mergeCell ref="AA17:AA20"/>
    <mergeCell ref="D73:D76"/>
    <mergeCell ref="X81:X84"/>
    <mergeCell ref="V4:X4"/>
    <mergeCell ref="W29:W32"/>
    <mergeCell ref="A49:A52"/>
    <mergeCell ref="B81:B84"/>
    <mergeCell ref="C49:C52"/>
    <mergeCell ref="E115:X115"/>
    <mergeCell ref="O101:S101"/>
    <mergeCell ref="P9:P10"/>
    <mergeCell ref="C33:C36"/>
    <mergeCell ref="D65:D68"/>
    <mergeCell ref="U77:U80"/>
    <mergeCell ref="Z89:Z92"/>
    <mergeCell ref="C29:C32"/>
    <mergeCell ref="Z25:Z28"/>
    <mergeCell ref="B93:B96"/>
    <mergeCell ref="T9:T10"/>
    <mergeCell ref="Y89:Y92"/>
    <mergeCell ref="B17:B20"/>
    <mergeCell ref="D17:D20"/>
    <mergeCell ref="A89:A92"/>
    <mergeCell ref="AA45:AA48"/>
    <mergeCell ref="V49:V52"/>
    <mergeCell ref="W81:W84"/>
    <mergeCell ref="X49:X52"/>
    <mergeCell ref="Y81:Y84"/>
    <mergeCell ref="D37:D40"/>
    <mergeCell ref="F9:F10"/>
    <mergeCell ref="X33:X36"/>
    <mergeCell ref="Y65:Y68"/>
    <mergeCell ref="AA65:AA68"/>
    <mergeCell ref="Q6:U6"/>
    <mergeCell ref="AA21:AA24"/>
    <mergeCell ref="V3:X3"/>
    <mergeCell ref="Y4:AA4"/>
    <mergeCell ref="X29:X32"/>
    <mergeCell ref="Z29:Z32"/>
    <mergeCell ref="U33:U36"/>
    <mergeCell ref="X85:X88"/>
    <mergeCell ref="Z13:Z16"/>
    <mergeCell ref="Z69:Z72"/>
    <mergeCell ref="A77:A80"/>
    <mergeCell ref="X77:X80"/>
    <mergeCell ref="B45:B48"/>
    <mergeCell ref="C77:C80"/>
    <mergeCell ref="Z77:Z80"/>
    <mergeCell ref="D101:I101"/>
    <mergeCell ref="V53:V56"/>
    <mergeCell ref="D81:D84"/>
    <mergeCell ref="W33:W36"/>
    <mergeCell ref="E117:X117"/>
    <mergeCell ref="V10:V11"/>
    <mergeCell ref="Z81:Z84"/>
    <mergeCell ref="AA49:AA52"/>
    <mergeCell ref="W85:W88"/>
    <mergeCell ref="Y85:Y88"/>
    <mergeCell ref="U61:U64"/>
    <mergeCell ref="AA33:AA36"/>
    <mergeCell ref="Y69:Y72"/>
    <mergeCell ref="AA69:AA72"/>
    <mergeCell ref="Z33:Z36"/>
    <mergeCell ref="AA53:AA56"/>
    <mergeCell ref="E118:X118"/>
    <mergeCell ref="U53:U56"/>
    <mergeCell ref="C61:C64"/>
    <mergeCell ref="Z17:Z20"/>
    <mergeCell ref="A2:N2"/>
    <mergeCell ref="W21:W24"/>
    <mergeCell ref="A81:A84"/>
    <mergeCell ref="U29:U32"/>
    <mergeCell ref="B49:B52"/>
    <mergeCell ref="C81:C84"/>
    <mergeCell ref="V57:V60"/>
    <mergeCell ref="V41:V44"/>
    <mergeCell ref="D29:D32"/>
    <mergeCell ref="AA37:AA40"/>
    <mergeCell ref="Z45:Z48"/>
    <mergeCell ref="U49:U52"/>
    <mergeCell ref="C41:C44"/>
    <mergeCell ref="W49:W52"/>
    <mergeCell ref="V81:V84"/>
    <mergeCell ref="E9:E10"/>
    <mergeCell ref="Z85:Z88"/>
    <mergeCell ref="H5:T5"/>
    <mergeCell ref="U57:U60"/>
    <mergeCell ref="Z21:Z24"/>
    <mergeCell ref="U41:U44"/>
    <mergeCell ref="A85:A88"/>
    <mergeCell ref="U93:U96"/>
    <mergeCell ref="K101:M101"/>
    <mergeCell ref="W93:W96"/>
    <mergeCell ref="E8:T8"/>
    <mergeCell ref="AA41:AA44"/>
    <mergeCell ref="W77:W80"/>
    <mergeCell ref="E114:X114"/>
    <mergeCell ref="Y77:Y80"/>
    <mergeCell ref="B33:B36"/>
    <mergeCell ref="D33:D36"/>
    <mergeCell ref="X41:X44"/>
    <mergeCell ref="C103:X103"/>
    <mergeCell ref="C69:C72"/>
    <mergeCell ref="C53:C56"/>
    <mergeCell ref="Z49:Z52"/>
  </mergeCells>
  <pageMargins left="0.7086614173228347" right="0.7086614173228347" top="0.7480314960629921" bottom="0.7480314960629921" header="0.3149606299212598" footer="0.3149606299212598"/>
  <pageSetup orientation="landscape" paperSize="9" scale="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Roman Aheienko</dc:creator>
  <dcterms:created xmlns:dcterms="http://purl.org/dc/terms/" xmlns:xsi="http://www.w3.org/2001/XMLSchema-instance" xsi:type="dcterms:W3CDTF">2025-02-13T14:00:14Z</dcterms:created>
  <dcterms:modified xmlns:dcterms="http://purl.org/dc/terms/" xmlns:xsi="http://www.w3.org/2001/XMLSchema-instance" xsi:type="dcterms:W3CDTF">2026-06-30T13:53:31Z</dcterms:modified>
  <cp:lastModifiedBy>Roman Aheienko</cp:lastModifiedBy>
</cp:coreProperties>
</file>