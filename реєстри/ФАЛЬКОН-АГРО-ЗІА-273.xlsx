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python\Дебетовий\реєстри\"/>
    </mc:Choice>
  </mc:AlternateContent>
  <xr:revisionPtr revIDLastSave="0" documentId="8_{75E48EAA-7776-4F79-B97D-19FF10CE6BEB}" xr6:coauthVersionLast="47" xr6:coauthVersionMax="47" xr10:uidLastSave="{00000000-0000-0000-0000-000000000000}"/>
  <bookViews>
    <workbookView xWindow="2205" yWindow="2205" windowWidth="21600" windowHeight="10283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A6" i="1"/>
  <c r="H9" i="1" l="1"/>
  <c r="G9" i="1"/>
  <c r="I9" i="1" l="1"/>
  <c r="I11" i="1" s="1"/>
  <c r="I10" i="1" s="1"/>
</calcChain>
</file>

<file path=xl/sharedStrings.xml><?xml version="1.0" encoding="utf-8"?>
<sst xmlns="http://schemas.openxmlformats.org/spreadsheetml/2006/main" count="23" uniqueCount="22">
  <si>
    <t>№ авто</t>
  </si>
  <si>
    <t>№ причепу</t>
  </si>
  <si>
    <t>Вага розвантаження, т</t>
  </si>
  <si>
    <t>№ ТТН</t>
  </si>
  <si>
    <t>Ставка за 1 т, без ПДВ</t>
  </si>
  <si>
    <t>Всього:</t>
  </si>
  <si>
    <t>ПДВ:</t>
  </si>
  <si>
    <t>Всього сума з ПДВ:</t>
  </si>
  <si>
    <t>Від перевізника</t>
  </si>
  <si>
    <t>Дата розвантаження</t>
  </si>
  <si>
    <t>Директор____________Урда А.О.</t>
  </si>
  <si>
    <t>Сумарна вага, т</t>
  </si>
  <si>
    <t>Загалом сума без ПДВ</t>
  </si>
  <si>
    <t xml:space="preserve">Вага навантаження, т </t>
  </si>
  <si>
    <t>ЄДРПОУ 42690553</t>
  </si>
  <si>
    <t>ТОВ "ЗІАВТОТРАНС"</t>
  </si>
  <si>
    <t>16.06.2026</t>
  </si>
  <si>
    <t>BA5530EX</t>
  </si>
  <si>
    <t>BA2657XF</t>
  </si>
  <si>
    <t>33106</t>
  </si>
  <si>
    <t>ФАЛЬКОН-АГРО</t>
  </si>
  <si>
    <t>Реєстр ТТН акт № 273 від 16.06.2026 на перевезення шроту за маршрутом м. Кропивницький, смт. Нове, вул. Ливарна, 10-Черкаська обл., Уманський рн, с. Скибин, вул. Героїв Небесної Сотні,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</si>
</sst>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\.mm\.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4" fillId="0" borderId="0" xfId="0" applyFont="1" applyAlignment="1">
      <alignment textRotation="90"/>
    </xf>
    <xf numFmtId="0" fontId="0" fillId="0" borderId="0" xfId="0" applyAlignment="1">
      <alignment horizontal="right" vertical="center"/>
    </xf>
    <xf numFmtId="2" fontId="1" fillId="2" borderId="4" xfId="0" applyNumberFormat="1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center" vertical="top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25855</xdr:rowOff>
    </xdr:from>
    <xdr:to>
      <xdr:col>9</xdr:col>
      <xdr:colOff>1501588</xdr:colOff>
      <xdr:row>1</xdr:row>
      <xdr:rowOff>159603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5855"/>
          <a:ext cx="13089117" cy="2419748"/>
          <a:chOff x="0" y="0"/>
          <a:chExt cx="7562603" cy="1313815"/>
        </a:xfrm>
      </xdr:grpSpPr>
      <xdr:sp macro="" textlink="">
        <xdr:nvSpPr>
          <xdr:cNvPr id="3" name="Прямоугольный треугольник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 flipH="1" flipV="1">
            <a:off x="6495803" y="0"/>
            <a:ext cx="1066800" cy="1313815"/>
          </a:xfrm>
          <a:prstGeom prst="rtTriangle">
            <a:avLst/>
          </a:prstGeom>
          <a:solidFill>
            <a:srgbClr val="E2E2E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ru-RU"/>
          </a:p>
        </xdr:txBody>
      </xdr:sp>
      <xdr:pic>
        <xdr:nvPicPr>
          <xdr:cNvPr id="4" name="Рисунок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59675" cy="200025"/>
          </a:xfrm>
          <a:prstGeom prst="rect">
            <a:avLst/>
          </a:prstGeom>
        </xdr:spPr>
      </xdr:pic>
      <xdr:pic>
        <xdr:nvPicPr>
          <xdr:cNvPr id="5" name="Рисунок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353299" y="356260"/>
            <a:ext cx="899795" cy="56388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17"/>
  <sheetViews>
    <sheetView tabSelected="1" topLeftCell="B1" zoomScale="130" zoomScaleNormal="130" workbookViewId="0">
      <selection activeCell="C7" sqref="C7"/>
    </sheetView>
  </sheetViews>
  <sheetFormatPr defaultRowHeight="14.25" x14ac:dyDescent="0.45"/>
  <cols>
    <col min="2" max="2" width="20.06640625" bestFit="1" customWidth="1"/>
    <col min="3" max="3" width="13.33203125" customWidth="1"/>
    <col min="4" max="4" width="11.33203125" bestFit="1" customWidth="1"/>
    <col min="5" max="5" width="23" style="22" bestFit="1" customWidth="1"/>
    <col min="6" max="6" width="20.59765625" customWidth="1"/>
    <col min="7" max="7" width="22.796875" style="22" bestFit="1" customWidth="1"/>
    <col min="8" max="8" width="20.59765625" bestFit="1" customWidth="1"/>
    <col min="9" max="9" width="21.33203125" bestFit="1" customWidth="1"/>
    <col min="10" max="10" width="21.33203125" customWidth="1"/>
    <col min="11" max="11" width="2.06640625" customWidth="1"/>
  </cols>
  <sheetData>
    <row r="1" spans="1:11" ht="180" customHeight="1" x14ac:dyDescent="0.55000000000000004">
      <c r="A1" s="24" t="s">
        <v>20</v>
      </c>
      <c r="B1" s="24"/>
      <c r="C1" s="24"/>
      <c r="D1" s="24"/>
      <c r="E1" s="24"/>
      <c r="F1" s="24"/>
      <c r="G1" s="24"/>
      <c r="H1" s="24"/>
      <c r="K1" s="16"/>
    </row>
    <row r="3" spans="1:11" x14ac:dyDescent="0.45">
      <c r="A3" s="23" t="s">
        <v>21</v>
      </c>
      <c r="B3" s="23"/>
      <c r="C3" s="23"/>
      <c r="D3" s="23"/>
      <c r="E3" s="23"/>
      <c r="F3" s="23"/>
      <c r="G3" s="23"/>
      <c r="H3" s="23"/>
      <c r="I3" s="23"/>
      <c r="J3" s="23"/>
    </row>
    <row r="4" spans="1:11" ht="23.25" customHeight="1" thickBot="1" x14ac:dyDescent="0.5">
      <c r="A4" s="23"/>
      <c r="B4" s="23"/>
      <c r="C4" s="23"/>
      <c r="D4" s="23"/>
      <c r="E4" s="23"/>
      <c r="F4" s="23"/>
      <c r="G4" s="23"/>
      <c r="H4" s="23"/>
      <c r="I4" s="23"/>
      <c r="J4" s="23"/>
    </row>
    <row r="5" spans="1:11" ht="14.65" customHeight="1" thickBot="1" x14ac:dyDescent="0.5">
      <c r="B5" s="7" t="s">
        <v>9</v>
      </c>
      <c r="C5" s="8" t="s">
        <v>0</v>
      </c>
      <c r="D5" s="8" t="s">
        <v>1</v>
      </c>
      <c r="E5" s="18" t="s">
        <v>13</v>
      </c>
      <c r="F5" s="8" t="s">
        <v>3</v>
      </c>
      <c r="G5" s="18" t="s">
        <v>2</v>
      </c>
      <c r="H5" s="9" t="s">
        <v>4</v>
      </c>
      <c r="I5" s="1"/>
      <c r="J5" s="1"/>
      <c r="K5" s="25"/>
    </row>
    <row r="6" spans="1:11" ht="16.5" customHeight="1" x14ac:dyDescent="0.45">
      <c r="A6" s="17">
        <f xml:space="preserve"> ROW() - 5</f>
        <v>1</v>
      </c>
      <c r="B6" s="4" t="s">
        <v>16</v>
      </c>
      <c r="C6" s="5" t="s">
        <v>17</v>
      </c>
      <c r="D6" s="5" t="s">
        <v>18</v>
      </c>
      <c r="E6" s="19">
        <v>26.96</v>
      </c>
      <c r="F6" s="6" t="s">
        <v>19</v>
      </c>
      <c r="G6" s="19">
        <v>27.02</v>
      </c>
      <c r="H6" s="13">
        <v>750</v>
      </c>
      <c r="I6" s="12"/>
      <c r="K6" s="25"/>
    </row>
    <row r="7" spans="1:11" ht="14.65" thickBot="1" x14ac:dyDescent="0.5">
      <c r="D7" t="s">
        <v>5</v>
      </c>
      <c r="E7" s="2">
        <f>ROUND(SUM(E6:F6), 2)</f>
        <v>26.96</v>
      </c>
      <c r="G7" s="3"/>
      <c r="I7" s="3"/>
      <c r="K7" s="25"/>
    </row>
    <row r="8" spans="1:11" ht="14.65" thickBot="1" x14ac:dyDescent="0.5">
      <c r="G8" s="20" t="s">
        <v>11</v>
      </c>
      <c r="H8" s="10" t="s">
        <v>4</v>
      </c>
      <c r="I8" s="11" t="s">
        <v>12</v>
      </c>
      <c r="K8" s="25"/>
    </row>
    <row r="9" spans="1:11" x14ac:dyDescent="0.45">
      <c r="G9" s="21">
        <f>ROUND(SUM(G6:G6), 2)</f>
        <v>27.02</v>
      </c>
      <c r="H9" s="13">
        <f>ROUND(H6,2)</f>
        <v>750</v>
      </c>
      <c r="I9" s="14">
        <f>ROUND(G9*H9,2)</f>
        <v>20265</v>
      </c>
      <c r="K9" s="25"/>
    </row>
    <row r="10" spans="1:11" x14ac:dyDescent="0.45">
      <c r="H10" t="s">
        <v>6</v>
      </c>
      <c r="I10" s="15">
        <f>ROUND(IF(I11&gt;I9, I11, I9)/6, 2)</f>
        <v>4053</v>
      </c>
    </row>
    <row r="11" spans="1:11" x14ac:dyDescent="0.45">
      <c r="H11" t="s">
        <v>7</v>
      </c>
      <c r="I11" s="15">
        <f>ROUND(I9*1.2,2)</f>
        <v>24318</v>
      </c>
    </row>
    <row r="13" spans="1:11" x14ac:dyDescent="0.45">
      <c r="H13" t="s">
        <v>8</v>
      </c>
    </row>
    <row r="14" spans="1:11" x14ac:dyDescent="0.45">
      <c r="H14" t="s">
        <v>15</v>
      </c>
    </row>
    <row r="15" spans="1:11" x14ac:dyDescent="0.45">
      <c r="H15" t="s">
        <v>14</v>
      </c>
    </row>
    <row r="17" spans="8:8" x14ac:dyDescent="0.45">
      <c r="H17" t="s">
        <v>10</v>
      </c>
    </row>
  </sheetData>
  <mergeCells count="3">
    <mergeCell ref="A3:J4"/>
    <mergeCell ref="A1:H1"/>
    <mergeCell ref="K5:K9"/>
  </mergeCells>
  <pageMargins left="0.25" right="0.25" top="0.75" bottom="0.75" header="0.3" footer="0.3"/>
  <pageSetup paperSize="9" scale="73" fitToHeight="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Aheienko</dc:creator>
  <cp:lastModifiedBy>Roman Aheienko</cp:lastModifiedBy>
  <cp:lastPrinted>2024-08-21T05:10:29Z</cp:lastPrinted>
  <dcterms:created xsi:type="dcterms:W3CDTF">2015-06-05T18:19:34Z</dcterms:created>
  <dcterms:modified xsi:type="dcterms:W3CDTF">2026-06-26T12:54:35Z</dcterms:modified>
</cp:coreProperties>
</file>