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0E24DB4C-B5F7-4150-BF6F-AA567D39DC51}" xr6:coauthVersionLast="47" xr6:coauthVersionMax="47" xr10:uidLastSave="{00000000-0000-0000-0000-000000000000}"/>
  <bookViews>
    <workbookView xWindow="5558" yWindow="3090" windowWidth="21600" windowHeight="1036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G16" i="1"/>
  <c r="A8" i="1"/>
  <c r="A9" i="1"/>
  <c r="A10" i="1"/>
  <c r="A11" i="1"/>
  <c r="A12" i="1"/>
  <c r="A13" i="1"/>
  <c r="A7" i="1"/>
  <c r="A6" i="1"/>
  <c r="H16" i="1" l="1"/>
  <c r="I16" i="1" l="1"/>
  <c r="I18" i="1" s="1"/>
  <c r="I17" i="1" s="1"/>
</calcChain>
</file>

<file path=xl/sharedStrings.xml><?xml version="1.0" encoding="utf-8"?>
<sst xmlns="http://schemas.openxmlformats.org/spreadsheetml/2006/main" count="51" uniqueCount="45">
  <si>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</si>
  <si>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</si>
  <si>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</si>
  <si>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</si>
  <si>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</si>
  <si>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</si>
  <si>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</si>
  <si>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</si>
  <si>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</si>
  <si>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</si>
  <si>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</si>
  <si>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Сумарна вага, т</t>
  </si>
  <si>
    <t>Загалом сума без ПДВ</t>
  </si>
  <si>
    <t xml:space="preserve">Вага навантаження, т </t>
  </si>
  <si>
    <t>ЄДРПОУ 42690553</t>
  </si>
  <si>
    <t>ТОВ "ЗІАВТОТРАНС"</t>
  </si>
  <si>
    <t>19.06.2026</t>
  </si>
  <si>
    <t>BA5530ЕX</t>
  </si>
  <si>
    <t>BA2657XF</t>
  </si>
  <si>
    <t>199761</t>
  </si>
  <si>
    <t>18.06.2026</t>
  </si>
  <si>
    <t>BA1141 BM</t>
  </si>
  <si>
    <t>ВА6104ХР</t>
  </si>
  <si>
    <t>199762</t>
  </si>
  <si>
    <t>BA0933НС</t>
  </si>
  <si>
    <t>BA4176XF</t>
  </si>
  <si>
    <t>199763</t>
  </si>
  <si>
    <t>17.01.1900</t>
  </si>
  <si>
    <t>ВА0251 НЕ</t>
  </si>
  <si>
    <t>ВА4672ХO</t>
  </si>
  <si>
    <t>199764</t>
  </si>
  <si>
    <t>BA2215CB</t>
  </si>
  <si>
    <t>ВA8142XР</t>
  </si>
  <si>
    <t>199767</t>
  </si>
  <si>
    <t>ВА972ВЕО</t>
  </si>
  <si>
    <t>AX4497XF</t>
  </si>
  <si>
    <t>199781</t>
  </si>
  <si>
    <t>20.06.2026</t>
  </si>
  <si>
    <t>BA1141ВМ</t>
  </si>
  <si>
    <t>199783</t>
  </si>
  <si>
    <t>ВА0251НЕ</t>
  </si>
  <si>
    <t>ВА4672ХО</t>
  </si>
  <si>
    <t>199784</t>
  </si>
  <si>
    <t>РОМИР-ТРЕЙД</t>
  </si>
  <si>
    <t>Реєстр ТТН акт № 270 від 20.06.2026 на перевезення пшениці за маршрутом с. Димине, Кропівницький район, Кіровоградська область-порт Південний, причал №17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</si>
</sst>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4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43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44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13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16</v>
      </c>
      <c r="C6" s="5" t="s">
        <v>17</v>
      </c>
      <c r="D6" s="5" t="s">
        <v>18</v>
      </c>
      <c r="E6" s="19">
        <v>27.08</v>
      </c>
      <c r="F6" s="6" t="s">
        <v>19</v>
      </c>
      <c r="G6" s="19">
        <v>26.98</v>
      </c>
      <c r="H6" s="13"/>
      <c r="I6" s="12"/>
      <c r="K6" s="25"/>
    </row>
    <row r="7" spans="1:11" ht="16.5" customHeight="1" x14ac:dyDescent="0.45">
      <c r="A7" s="17">
        <f xml:space="preserve"> ROW() - 5</f>
        <v>2</v>
      </c>
      <c r="B7" s="4" t="s">
        <v>20</v>
      </c>
      <c r="C7" s="5" t="s">
        <v>21</v>
      </c>
      <c r="D7" s="5" t="s">
        <v>22</v>
      </c>
      <c r="E7" s="19">
        <v>25.42</v>
      </c>
      <c r="F7" s="6" t="s">
        <v>23</v>
      </c>
      <c r="G7" s="19">
        <v>25.32</v>
      </c>
      <c r="H7" s="13"/>
      <c r="I7" s="12"/>
      <c r="K7" s="25"/>
    </row>
    <row r="8" spans="1:11" ht="16.5" customHeight="1" x14ac:dyDescent="0.45">
      <c r="A8" s="17">
        <f xml:space="preserve"> ROW() - 5</f>
        <v>3</v>
      </c>
      <c r="B8" s="4" t="s">
        <v>20</v>
      </c>
      <c r="C8" s="5" t="s">
        <v>24</v>
      </c>
      <c r="D8" s="5" t="s">
        <v>25</v>
      </c>
      <c r="E8" s="19">
        <v>27.8</v>
      </c>
      <c r="F8" s="6" t="s">
        <v>26</v>
      </c>
      <c r="G8" s="19">
        <v>27.76</v>
      </c>
      <c r="H8" s="13"/>
      <c r="I8" s="12"/>
      <c r="K8" s="25"/>
    </row>
    <row r="9" spans="1:11" ht="16.5" customHeight="1" x14ac:dyDescent="0.45">
      <c r="A9" s="17">
        <f xml:space="preserve"> ROW() - 5</f>
        <v>4</v>
      </c>
      <c r="B9" s="4" t="s">
        <v>27</v>
      </c>
      <c r="C9" s="5" t="s">
        <v>28</v>
      </c>
      <c r="D9" s="5" t="s">
        <v>29</v>
      </c>
      <c r="E9" s="19">
        <v>25.4</v>
      </c>
      <c r="F9" s="6" t="s">
        <v>30</v>
      </c>
      <c r="G9" s="19">
        <v>25.3</v>
      </c>
      <c r="H9" s="13"/>
      <c r="I9" s="12"/>
      <c r="K9" s="25"/>
    </row>
    <row r="10" spans="1:11" ht="16.5" customHeight="1" x14ac:dyDescent="0.45">
      <c r="A10" s="17">
        <f xml:space="preserve"> ROW() - 5</f>
        <v>5</v>
      </c>
      <c r="B10" s="4" t="s">
        <v>20</v>
      </c>
      <c r="C10" s="5" t="s">
        <v>31</v>
      </c>
      <c r="D10" s="5" t="s">
        <v>32</v>
      </c>
      <c r="E10" s="19">
        <v>25.7</v>
      </c>
      <c r="F10" s="6" t="s">
        <v>33</v>
      </c>
      <c r="G10" s="19">
        <v>25.62</v>
      </c>
      <c r="H10" s="13"/>
      <c r="I10" s="12"/>
      <c r="K10" s="25"/>
    </row>
    <row r="11" spans="1:11" ht="16.5" customHeight="1" x14ac:dyDescent="0.45">
      <c r="A11" s="17">
        <f xml:space="preserve"> ROW() - 5</f>
        <v>6</v>
      </c>
      <c r="B11" s="4" t="s">
        <v>16</v>
      </c>
      <c r="C11" s="5" t="s">
        <v>34</v>
      </c>
      <c r="D11" s="5" t="s">
        <v>35</v>
      </c>
      <c r="E11" s="19">
        <v>27.88</v>
      </c>
      <c r="F11" s="6" t="s">
        <v>36</v>
      </c>
      <c r="G11" s="19">
        <v>27.72</v>
      </c>
      <c r="H11" s="13"/>
      <c r="I11" s="12"/>
      <c r="K11" s="25"/>
    </row>
    <row r="12" spans="1:11" ht="16.5" customHeight="1" x14ac:dyDescent="0.45">
      <c r="A12" s="17">
        <f xml:space="preserve"> ROW() - 5</f>
        <v>7</v>
      </c>
      <c r="B12" s="4" t="s">
        <v>37</v>
      </c>
      <c r="C12" s="5" t="s">
        <v>38</v>
      </c>
      <c r="D12" s="5" t="s">
        <v>22</v>
      </c>
      <c r="E12" s="19">
        <v>25.46</v>
      </c>
      <c r="F12" s="6" t="s">
        <v>39</v>
      </c>
      <c r="G12" s="19">
        <v>25.4</v>
      </c>
      <c r="H12" s="13"/>
      <c r="I12" s="12"/>
      <c r="K12" s="25"/>
    </row>
    <row r="13" spans="1:11" ht="16.5" customHeight="1" x14ac:dyDescent="0.45">
      <c r="A13" s="17">
        <f xml:space="preserve"> ROW() - 5</f>
        <v>8</v>
      </c>
      <c r="B13" s="4" t="s">
        <v>37</v>
      </c>
      <c r="C13" s="5" t="s">
        <v>40</v>
      </c>
      <c r="D13" s="5" t="s">
        <v>41</v>
      </c>
      <c r="E13" s="19">
        <v>25.42</v>
      </c>
      <c r="F13" s="6" t="s">
        <v>42</v>
      </c>
      <c r="G13" s="19">
        <v>25.4</v>
      </c>
      <c r="H13" s="13"/>
      <c r="I13" s="12"/>
      <c r="K13" s="25"/>
    </row>
    <row r="14" spans="1:11" ht="14.65" thickBot="1" x14ac:dyDescent="0.5">
      <c r="D14" t="s">
        <v>5</v>
      </c>
      <c r="E14" s="2">
        <f>ROUND(SUM(E6:F13), 2)</f>
        <v>210.16</v>
      </c>
      <c r="G14" s="3"/>
      <c r="I14" s="3"/>
      <c r="K14" s="25"/>
    </row>
    <row r="15" spans="1:11" ht="14.65" thickBot="1" x14ac:dyDescent="0.5">
      <c r="G15" s="20" t="s">
        <v>11</v>
      </c>
      <c r="H15" s="10" t="s">
        <v>4</v>
      </c>
      <c r="I15" s="11" t="s">
        <v>12</v>
      </c>
      <c r="K15" s="25"/>
    </row>
    <row r="16" spans="1:11" x14ac:dyDescent="0.45">
      <c r="G16" s="21">
        <f>ROUND(SUM(G6:G13), 2)</f>
        <v>209.5</v>
      </c>
      <c r="H16" s="13">
        <f>ROUND(H6,2)</f>
        <v>0</v>
      </c>
      <c r="I16" s="14">
        <f>ROUND(G16*H16,2)</f>
        <v>0</v>
      </c>
      <c r="K16" s="25"/>
    </row>
    <row r="17" spans="8:9" x14ac:dyDescent="0.45">
      <c r="H17" t="s">
        <v>6</v>
      </c>
      <c r="I17" s="15">
        <f>ROUND(IF(I18&gt;I16, I18, I16)/6, 2)</f>
        <v>0</v>
      </c>
    </row>
    <row r="18" spans="8:9" x14ac:dyDescent="0.45">
      <c r="H18" t="s">
        <v>7</v>
      </c>
      <c r="I18" s="15">
        <f>ROUND(I16*1.2,2)</f>
        <v>0</v>
      </c>
    </row>
    <row r="20" spans="8:9" x14ac:dyDescent="0.45">
      <c r="H20" t="s">
        <v>8</v>
      </c>
    </row>
    <row r="21" spans="8:9" x14ac:dyDescent="0.45">
      <c r="H21" t="s">
        <v>15</v>
      </c>
    </row>
    <row r="22" spans="8:9" x14ac:dyDescent="0.45">
      <c r="H22" t="s">
        <v>14</v>
      </c>
    </row>
    <row r="24" spans="8:9" x14ac:dyDescent="0.45">
      <c r="H24" t="s">
        <v>10</v>
      </c>
    </row>
  </sheetData>
  <mergeCells count="3">
    <mergeCell ref="A3:J4"/>
    <mergeCell ref="A1:H1"/>
    <mergeCell ref="K5:K16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2026-06-29T13:01:39Z</dcterms:modified>
</cp:coreProperties>
</file>