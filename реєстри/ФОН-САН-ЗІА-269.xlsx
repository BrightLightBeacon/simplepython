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553A1551-B5CC-4319-BFD1-8CE76665EC38}" xr6:coauthVersionLast="47" xr6:coauthVersionMax="47" xr10:uidLastSave="{00000000-0000-0000-0000-000000000000}"/>
  <bookViews>
    <workbookView xWindow="1073" yWindow="1073" windowWidth="21600" windowHeight="1028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A6" i="1"/>
  <c r="H9" i="1" l="1"/>
  <c r="G9" i="1"/>
  <c r="I9" i="1" l="1"/>
  <c r="I11" i="1" s="1"/>
  <c r="I10" i="1" s="1"/>
</calcChain>
</file>

<file path=xl/sharedStrings.xml><?xml version="1.0" encoding="utf-8"?>
<sst xmlns="http://schemas.openxmlformats.org/spreadsheetml/2006/main" count="23" uniqueCount="22">
  <si>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</si>
  <si>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</si>
  <si>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</si>
  <si>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</si>
  <si>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</si>
  <si>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</si>
  <si>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</si>
  <si>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</si>
  <si>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</si>
  <si>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</si>
  <si>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</si>
  <si>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</si>
  <si>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</si>
  <si>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</si>
  <si>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</si>
  <si>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</si>
  <si>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19.06.2026</t>
  </si>
  <si>
    <t>BA5391EO</t>
  </si>
  <si>
    <t>BA2471XO</t>
  </si>
  <si>
    <t>33129</t>
  </si>
  <si>
    <t>ФОН-САН</t>
  </si>
  <si>
    <t>Реєстр ТТН акт № 269 від 19.06.2026 на перевезення шроту за маршрутом м. Кропивницький, смт. Нове, вул. Ливарна, 10- Кіровоградська обл., Кропивницький район, с. Сонячне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</si>
</sst>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20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25.08</v>
      </c>
      <c r="F6" s="6" t="s">
        <v>19</v>
      </c>
      <c r="G6" s="19">
        <v>25.08</v>
      </c>
      <c r="H6" s="13">
        <v>1000</v>
      </c>
      <c r="I6" s="12"/>
      <c r="K6" s="25"/>
    </row>
    <row r="7" spans="1:11" ht="14.65" thickBot="1" x14ac:dyDescent="0.5">
      <c r="D7" t="s">
        <v>5</v>
      </c>
      <c r="E7" s="2">
        <f>ROUND(SUM(E6:F6), 2)</f>
        <v>25.08</v>
      </c>
      <c r="G7" s="3"/>
      <c r="I7" s="3"/>
      <c r="K7" s="25"/>
    </row>
    <row r="8" spans="1:11" ht="14.65" thickBot="1" x14ac:dyDescent="0.5">
      <c r="G8" s="20" t="s">
        <v>11</v>
      </c>
      <c r="H8" s="10" t="s">
        <v>4</v>
      </c>
      <c r="I8" s="11" t="s">
        <v>12</v>
      </c>
      <c r="K8" s="25"/>
    </row>
    <row r="9" spans="1:11" x14ac:dyDescent="0.45">
      <c r="G9" s="21">
        <f>ROUND(SUM(G6:G6), 2)</f>
        <v>25.08</v>
      </c>
      <c r="H9" s="13">
        <f>ROUND(H6,2)</f>
        <v>1000</v>
      </c>
      <c r="I9" s="14">
        <f>ROUND(G9*H9,2)</f>
        <v>25080</v>
      </c>
      <c r="K9" s="25"/>
    </row>
    <row r="10" spans="1:11" x14ac:dyDescent="0.45">
      <c r="H10" t="s">
        <v>6</v>
      </c>
      <c r="I10" s="15">
        <f>ROUND(IF(I11&gt;I9, I11, I9)/6, 2)</f>
        <v>5016</v>
      </c>
    </row>
    <row r="11" spans="1:11" x14ac:dyDescent="0.45">
      <c r="H11" t="s">
        <v>7</v>
      </c>
      <c r="I11" s="15">
        <f>ROUND(I9*1.2,2)</f>
        <v>30096</v>
      </c>
    </row>
    <row r="13" spans="1:11" x14ac:dyDescent="0.45">
      <c r="H13" t="s">
        <v>8</v>
      </c>
    </row>
    <row r="14" spans="1:11" x14ac:dyDescent="0.45">
      <c r="H14" t="s">
        <v>15</v>
      </c>
    </row>
    <row r="15" spans="1:11" x14ac:dyDescent="0.45">
      <c r="H15" t="s">
        <v>14</v>
      </c>
    </row>
    <row r="17" spans="8:8" x14ac:dyDescent="0.45">
      <c r="H17" t="s">
        <v>10</v>
      </c>
    </row>
  </sheetData>
  <mergeCells count="3">
    <mergeCell ref="A3:J4"/>
    <mergeCell ref="A1:H1"/>
    <mergeCell ref="K5:K9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2026-06-26T12:57:21Z</dcterms:modified>
</cp:coreProperties>
</file>