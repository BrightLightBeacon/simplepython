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BEA19EE0-E399-4F35-9CC8-23FEFF96B007}" xr6:coauthVersionLast="47" xr6:coauthVersionMax="47" xr10:uidLastSave="{00000000-0000-0000-0000-000000000000}"/>
  <bookViews>
    <workbookView xWindow="2205" yWindow="2205" windowWidth="21600" windowHeight="1028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11" i="1"/>
  <c r="A8" i="1"/>
  <c r="A7" i="1"/>
  <c r="A6" i="1"/>
  <c r="H11" i="1" l="1"/>
  <c r="I11" i="1" l="1"/>
  <c r="I13" i="1" s="1"/>
  <c r="I12" i="1" s="1"/>
</calcChain>
</file>

<file path=xl/sharedStrings.xml><?xml version="1.0" encoding="utf-8"?>
<sst xmlns="http://schemas.openxmlformats.org/spreadsheetml/2006/main" count="31" uniqueCount="29">
  <si>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</si>
  <si>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</si>
  <si>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</si>
  <si>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</si>
  <si>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</si>
  <si>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</si>
  <si>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</si>
  <si>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</si>
  <si>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</si>
  <si>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</si>
  <si>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</si>
  <si>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</si>
  <si>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</si>
  <si>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</si>
  <si>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</si>
  <si>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</si>
  <si>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19.06.2026</t>
  </si>
  <si>
    <t>ВА 9737ЕО</t>
  </si>
  <si>
    <t>ВА 2192 ХЕ</t>
  </si>
  <si>
    <t>25</t>
  </si>
  <si>
    <t>ВА1141ВМ</t>
  </si>
  <si>
    <t>АХ3947ХМ</t>
  </si>
  <si>
    <t>293</t>
  </si>
  <si>
    <t>23.06.2026</t>
  </si>
  <si>
    <t>ВА4171СС</t>
  </si>
  <si>
    <t>ВА7851ХР</t>
  </si>
  <si>
    <t>298</t>
  </si>
  <si>
    <t>АГРИТЕК</t>
  </si>
  <si>
    <t>Реєстр ТТН акт № 279 від 23.06.2026 на перевезення ячменю за маршрутом с. Васютинці, Черкаська обл.-Одеська обл., 1-й км Автодороги порту "Південний"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</si>
</sst>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9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27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28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27.18</v>
      </c>
      <c r="F6" s="6" t="s">
        <v>19</v>
      </c>
      <c r="G6" s="19">
        <v>27.12</v>
      </c>
      <c r="H6" s="13">
        <v>1166.67</v>
      </c>
      <c r="I6" s="12"/>
      <c r="K6" s="25"/>
    </row>
    <row r="7" spans="1:11" ht="16.5" customHeight="1" x14ac:dyDescent="0.45">
      <c r="A7" s="17">
        <f xml:space="preserve"> ROW() - 5</f>
        <v>2</v>
      </c>
      <c r="B7" s="4" t="s">
        <v>16</v>
      </c>
      <c r="C7" s="5" t="s">
        <v>20</v>
      </c>
      <c r="D7" s="5" t="s">
        <v>21</v>
      </c>
      <c r="E7" s="19">
        <v>27.14</v>
      </c>
      <c r="F7" s="6" t="s">
        <v>22</v>
      </c>
      <c r="G7" s="19">
        <v>27.08</v>
      </c>
      <c r="H7" s="13">
        <v>1166.67</v>
      </c>
      <c r="I7" s="12"/>
      <c r="K7" s="25"/>
    </row>
    <row r="8" spans="1:11" ht="16.5" customHeight="1" x14ac:dyDescent="0.45">
      <c r="A8" s="17">
        <f xml:space="preserve"> ROW() - 5</f>
        <v>3</v>
      </c>
      <c r="B8" s="4" t="s">
        <v>23</v>
      </c>
      <c r="C8" s="5" t="s">
        <v>24</v>
      </c>
      <c r="D8" s="5" t="s">
        <v>25</v>
      </c>
      <c r="E8" s="19">
        <v>26.2</v>
      </c>
      <c r="F8" s="6" t="s">
        <v>26</v>
      </c>
      <c r="G8" s="19">
        <v>26.18</v>
      </c>
      <c r="H8" s="13">
        <v>1166.67</v>
      </c>
      <c r="I8" s="12"/>
      <c r="K8" s="25"/>
    </row>
    <row r="9" spans="1:11" ht="14.65" thickBot="1" x14ac:dyDescent="0.5">
      <c r="D9" t="s">
        <v>5</v>
      </c>
      <c r="E9" s="2">
        <f>ROUND(SUM(E6:F8), 2)</f>
        <v>80.52</v>
      </c>
      <c r="G9" s="3"/>
      <c r="I9" s="3"/>
      <c r="K9" s="25"/>
    </row>
    <row r="10" spans="1:11" ht="14.65" thickBot="1" x14ac:dyDescent="0.5">
      <c r="G10" s="20" t="s">
        <v>11</v>
      </c>
      <c r="H10" s="10" t="s">
        <v>4</v>
      </c>
      <c r="I10" s="11" t="s">
        <v>12</v>
      </c>
      <c r="K10" s="25"/>
    </row>
    <row r="11" spans="1:11" x14ac:dyDescent="0.45">
      <c r="G11" s="21">
        <f>ROUND(SUM(G6:G8), 2)</f>
        <v>80.38</v>
      </c>
      <c r="H11" s="13">
        <f>ROUND(H6,2)</f>
        <v>1166.67</v>
      </c>
      <c r="I11" s="14">
        <f>ROUND(G11*H11,2)</f>
        <v>93776.93</v>
      </c>
      <c r="K11" s="25"/>
    </row>
    <row r="12" spans="1:11" x14ac:dyDescent="0.45">
      <c r="H12" t="s">
        <v>6</v>
      </c>
      <c r="I12" s="15">
        <f>ROUND(IF(I13&gt;I11, I13, I11)/6, 2)</f>
        <v>18755.39</v>
      </c>
    </row>
    <row r="13" spans="1:11" x14ac:dyDescent="0.45">
      <c r="H13" t="s">
        <v>7</v>
      </c>
      <c r="I13" s="15">
        <f>ROUND(I11*1.2,2)</f>
        <v>112532.32</v>
      </c>
    </row>
    <row r="15" spans="1:11" x14ac:dyDescent="0.45">
      <c r="H15" t="s">
        <v>8</v>
      </c>
    </row>
    <row r="16" spans="1:11" x14ac:dyDescent="0.45">
      <c r="H16" t="s">
        <v>15</v>
      </c>
    </row>
    <row r="17" spans="8:8" x14ac:dyDescent="0.45">
      <c r="H17" t="s">
        <v>14</v>
      </c>
    </row>
    <row r="19" spans="8:8" x14ac:dyDescent="0.45">
      <c r="H19" t="s">
        <v>10</v>
      </c>
    </row>
  </sheetData>
  <mergeCells count="3">
    <mergeCell ref="A3:J4"/>
    <mergeCell ref="A1:H1"/>
    <mergeCell ref="K5:K11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2026-06-26T12:50:45Z</dcterms:modified>
</cp:coreProperties>
</file>