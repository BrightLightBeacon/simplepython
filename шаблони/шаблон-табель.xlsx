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ac\googledrive-nadinemar471\docs\табель\"/>
    </mc:Choice>
  </mc:AlternateContent>
  <xr:revisionPtr revIDLastSave="0" documentId="13_ncr:1_{28AA512E-0739-4421-9D47-7D4CD2193119}" xr6:coauthVersionLast="47" xr6:coauthVersionMax="47" xr10:uidLastSave="{00000000-0000-0000-0000-000000000000}"/>
  <bookViews>
    <workbookView xWindow="5137" yWindow="1688" windowWidth="21601" windowHeight="10365" xr2:uid="{E39C693E-D208-4406-8ACB-BF5F1FA48E98}"/>
  </bookViews>
  <sheets>
    <sheet name="sheet_ex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3" i="2"/>
  <c r="O14" i="2"/>
  <c r="P14" i="2"/>
  <c r="W21" i="2"/>
  <c r="X21" i="2"/>
  <c r="Y21" i="2"/>
  <c r="T20" i="2" l="1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E14" i="2"/>
  <c r="F14" i="2"/>
  <c r="G14" i="2"/>
  <c r="H14" i="2"/>
  <c r="I14" i="2"/>
  <c r="J14" i="2"/>
  <c r="K14" i="2"/>
  <c r="L14" i="2"/>
  <c r="M14" i="2"/>
  <c r="N14" i="2"/>
  <c r="Q14" i="2"/>
  <c r="R14" i="2"/>
  <c r="S14" i="2"/>
  <c r="T14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AA13" i="2"/>
  <c r="Z17" i="2" l="1" a="1"/>
  <c r="V17" i="2"/>
  <c r="U17" i="2"/>
  <c r="V13" i="2"/>
  <c r="V21" i="2" s="1"/>
  <c r="Z13" i="2" a="1"/>
  <c r="Z21" i="2" s="1"/>
  <c r="U13" i="2"/>
  <c r="U21" i="2" s="1"/>
  <c r="AA17" i="2"/>
  <c r="AA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<sst xmlns="http://schemas.openxmlformats.org/spreadsheetml/2006/main" count="93" uniqueCount="66">
  <si>
    <t>Інші причини неявок</t>
  </si>
  <si>
    <t>-</t>
  </si>
  <si>
    <t>І</t>
  </si>
  <si>
    <t>Оплачувана тимчасова непрацездатність</t>
  </si>
  <si>
    <t>ТН</t>
  </si>
  <si>
    <t>Прогули</t>
  </si>
  <si>
    <t>ПР</t>
  </si>
  <si>
    <t>Простої</t>
  </si>
  <si>
    <t>П</t>
  </si>
  <si>
    <t>Відпустка без збереження заробітної плати за згодою сторін (стаття 26 Закону України "Про відпустки")</t>
  </si>
  <si>
    <t>НА</t>
  </si>
  <si>
    <t>Відпустка для догляду за дитиною до досягнення нею 6-ти річного віку (ст. 25 п.3 Закону України "Про відпустки")</t>
  </si>
  <si>
    <t>ДД</t>
  </si>
  <si>
    <t>Відпустка у зв’язку з вагітністю і пологами (стаття 17 Закону України "Про відпустки") та відпустка для догляду за дитиною до досягнення нею трирічного віку (ст. 18 Закону України «Про відпустки»)</t>
  </si>
  <si>
    <t>ВП</t>
  </si>
  <si>
    <t>Основна щорічна відпустка (ст.6 Закону України "Про відпустки")</t>
  </si>
  <si>
    <t>В</t>
  </si>
  <si>
    <t>Відрядження</t>
  </si>
  <si>
    <t>ВД</t>
  </si>
  <si>
    <t>Години роботи у вихідні та святкові дні</t>
  </si>
  <si>
    <t>РВ</t>
  </si>
  <si>
    <t>Надурочні години роботи</t>
  </si>
  <si>
    <t>НУ</t>
  </si>
  <si>
    <t>Нічні години роботи</t>
  </si>
  <si>
    <t>РН</t>
  </si>
  <si>
    <t>Вечірні години роботи</t>
  </si>
  <si>
    <t>ВЧ</t>
  </si>
  <si>
    <t>Вихідні та святкові дні</t>
  </si>
  <si>
    <t>ВВ</t>
  </si>
  <si>
    <t>Години роботи, передбачені колдоговором</t>
  </si>
  <si>
    <t>Р</t>
  </si>
  <si>
    <t>Позначки у табелі:</t>
  </si>
  <si>
    <t>розшифровка підпису</t>
  </si>
  <si>
    <t>особистий підпис</t>
  </si>
  <si>
    <t>посада</t>
  </si>
  <si>
    <t>Директор</t>
  </si>
  <si>
    <t>Разом</t>
  </si>
  <si>
    <t>ч</t>
  </si>
  <si>
    <t>відпустка</t>
  </si>
  <si>
    <t>військовозобов</t>
  </si>
  <si>
    <t>за свій рахунок</t>
  </si>
  <si>
    <t>тимчасова непрацуздатність</t>
  </si>
  <si>
    <t>з них</t>
  </si>
  <si>
    <t>всього</t>
  </si>
  <si>
    <t>годин</t>
  </si>
  <si>
    <t>днів</t>
  </si>
  <si>
    <t>X</t>
  </si>
  <si>
    <t>Вихідних та святкових днів</t>
  </si>
  <si>
    <t>Відпрацьовано за місяц</t>
  </si>
  <si>
    <t>Відмітки про явки та неявки за числами місяця (годин)</t>
  </si>
  <si>
    <t>Стать (ч/ж)</t>
  </si>
  <si>
    <t>Табельний номер</t>
  </si>
  <si>
    <t>ПІБ, посада</t>
  </si>
  <si>
    <t>№ п/п</t>
  </si>
  <si>
    <t>ТАБЕЛЬ</t>
  </si>
  <si>
    <t>по</t>
  </si>
  <si>
    <t>з</t>
  </si>
  <si>
    <t>Найменування підприємства (установи, організації)</t>
  </si>
  <si>
    <t>Звітний період</t>
  </si>
  <si>
    <t>обліку використання робочого часу водіїв за</t>
  </si>
  <si>
    <t>${director}</t>
  </si>
  <si>
    <t>${company}</t>
  </si>
  <si>
    <t>${driver}</t>
  </si>
  <si>
    <t>${month} ${year} року</t>
  </si>
  <si>
    <t>${start_date}</t>
  </si>
  <si>
    <t>${end_date}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</si>
</sst>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0"/>
      <color theme="1"/>
      <name val="Arimo"/>
    </font>
    <font>
      <sz val="10"/>
      <color theme="1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7" xfId="1" applyFont="1" applyBorder="1" applyAlignment="1">
      <alignment vertical="center" wrapText="1"/>
    </xf>
    <xf numFmtId="0" fontId="1" fillId="0" borderId="0" xfId="1"/>
    <xf numFmtId="0" fontId="2" fillId="0" borderId="6" xfId="1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2" fillId="0" borderId="1" xfId="1" applyFont="1" applyBorder="1" applyAlignment="1">
      <alignment wrapText="1"/>
    </xf>
    <xf numFmtId="0" fontId="2" fillId="0" borderId="41" xfId="1" applyFont="1" applyBorder="1" applyAlignment="1">
      <alignment vertical="center" wrapText="1"/>
    </xf>
    <xf numFmtId="0" fontId="7" fillId="0" borderId="42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0" fontId="7" fillId="0" borderId="40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top" wrapText="1"/>
    </xf>
    <xf numFmtId="0" fontId="3" fillId="0" borderId="50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8" xfId="1" applyFont="1" applyBorder="1" applyAlignment="1">
      <alignment horizontal="center" vertical="top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51" xfId="1" applyFont="1" applyBorder="1" applyAlignment="1">
      <alignment horizontal="center" vertical="center" wrapText="1"/>
    </xf>
    <xf numFmtId="0" fontId="3" fillId="0" borderId="52" xfId="1" applyFont="1" applyBorder="1" applyAlignment="1">
      <alignment horizontal="center" vertical="center" wrapText="1"/>
    </xf>
    <xf numFmtId="0" fontId="3" fillId="0" borderId="53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29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32" xfId="1" applyFont="1" applyBorder="1" applyAlignment="1">
      <alignment horizontal="center" vertical="center" wrapText="1"/>
    </xf>
    <xf numFmtId="0" fontId="3" fillId="0" borderId="31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center" vertical="center" wrapText="1"/>
    </xf>
    <xf numFmtId="0" fontId="7" fillId="0" borderId="39" xfId="1" applyFont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right" vertical="center" wrapText="1"/>
    </xf>
    <xf numFmtId="0" fontId="8" fillId="0" borderId="44" xfId="1" applyFont="1" applyBorder="1" applyAlignment="1">
      <alignment horizontal="right" vertical="center" wrapText="1"/>
    </xf>
    <xf numFmtId="0" fontId="8" fillId="0" borderId="43" xfId="1" applyFont="1" applyBorder="1" applyAlignment="1">
      <alignment horizontal="right" vertical="center" wrapText="1"/>
    </xf>
    <xf numFmtId="0" fontId="8" fillId="0" borderId="45" xfId="1" applyFont="1" applyBorder="1" applyAlignment="1">
      <alignment vertical="center" wrapText="1"/>
    </xf>
    <xf numFmtId="0" fontId="8" fillId="0" borderId="44" xfId="1" applyFont="1" applyBorder="1" applyAlignment="1">
      <alignment vertical="center" wrapText="1"/>
    </xf>
    <xf numFmtId="0" fontId="8" fillId="0" borderId="43" xfId="1" applyFont="1" applyBorder="1" applyAlignment="1">
      <alignment vertical="center" wrapText="1"/>
    </xf>
    <xf numFmtId="0" fontId="6" fillId="0" borderId="48" xfId="1" applyFont="1" applyBorder="1" applyAlignment="1">
      <alignment horizontal="center" vertical="center" wrapText="1"/>
    </xf>
    <xf numFmtId="0" fontId="6" fillId="0" borderId="47" xfId="1" applyFont="1" applyBorder="1" applyAlignment="1">
      <alignment horizontal="center" vertical="center" wrapText="1"/>
    </xf>
    <xf numFmtId="0" fontId="6" fillId="0" borderId="46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4" fontId="6" fillId="0" borderId="4" xfId="1" applyNumberFormat="1" applyFont="1" applyBorder="1" applyAlignment="1">
      <alignment horizontal="center" vertical="center" wrapText="1"/>
    </xf>
    <xf numFmtId="14" fontId="6" fillId="0" borderId="3" xfId="1" applyNumberFormat="1" applyFont="1" applyBorder="1" applyAlignment="1">
      <alignment horizontal="center" vertical="center" wrapText="1"/>
    </xf>
    <xf numFmtId="14" fontId="6" fillId="0" borderId="2" xfId="1" applyNumberFormat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21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880341-C65F-402A-9BA4-9ED669F43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7E92-4A5F-41EB-8D9F-C4FC9AC212C8}">
  <sheetPr codeName="Sheet10"/>
  <dimension ref="A1:AA42"/>
  <sheetViews>
    <sheetView tabSelected="1" workbookViewId="0">
      <selection activeCell="F16" sqref="F16"/>
    </sheetView>
  </sheetViews>
  <sheetFormatPr defaultRowHeight="14.25"/>
  <cols>
    <col min="1" max="1" width="9.06640625" style="3"/>
    <col min="2" max="2" width="13.59765625" style="3" customWidth="1"/>
    <col min="3" max="20" width="9.06640625" style="3"/>
    <col min="21" max="22" width="10.265625" style="3" bestFit="1" customWidth="1"/>
    <col min="23" max="24" width="9.06640625" style="3"/>
    <col min="25" max="25" width="8.86328125" style="3" bestFit="1" customWidth="1"/>
    <col min="26" max="16384" width="9.06640625" style="3"/>
  </cols>
  <sheetData>
    <row r="1" spans="1:27" ht="14.6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  <c r="AA1" s="2"/>
    </row>
    <row r="2" spans="1:27" ht="14.65" thickBot="1">
      <c r="A2" s="80" t="s">
        <v>61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2"/>
      <c r="O2" s="1"/>
      <c r="P2" s="1"/>
      <c r="Q2" s="1"/>
      <c r="R2" s="1"/>
      <c r="S2" s="1"/>
      <c r="T2" s="1"/>
      <c r="U2" s="4"/>
      <c r="V2" s="83" t="s">
        <v>58</v>
      </c>
      <c r="W2" s="84"/>
      <c r="X2" s="84"/>
      <c r="Y2" s="84"/>
      <c r="Z2" s="84"/>
      <c r="AA2" s="85"/>
    </row>
    <row r="3" spans="1:27" ht="14.65" thickBot="1">
      <c r="A3" s="1"/>
      <c r="B3" s="1"/>
      <c r="C3" s="5" t="s">
        <v>57</v>
      </c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4"/>
      <c r="V3" s="83" t="s">
        <v>56</v>
      </c>
      <c r="W3" s="84"/>
      <c r="X3" s="85"/>
      <c r="Y3" s="83" t="s">
        <v>55</v>
      </c>
      <c r="Z3" s="84"/>
      <c r="AA3" s="85"/>
    </row>
    <row r="4" spans="1:27" ht="14.6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4"/>
      <c r="V4" s="86" t="s">
        <v>64</v>
      </c>
      <c r="W4" s="87"/>
      <c r="X4" s="88"/>
      <c r="Y4" s="86" t="s">
        <v>65</v>
      </c>
      <c r="Z4" s="87"/>
      <c r="AA4" s="88"/>
    </row>
    <row r="5" spans="1:27" ht="15.4" thickBot="1">
      <c r="A5" s="1"/>
      <c r="B5" s="1"/>
      <c r="C5" s="1"/>
      <c r="D5" s="1"/>
      <c r="E5" s="1"/>
      <c r="F5" s="1"/>
      <c r="G5" s="1"/>
      <c r="H5" s="71" t="s">
        <v>54</v>
      </c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3"/>
      <c r="U5" s="1"/>
      <c r="V5" s="1"/>
      <c r="W5" s="1"/>
      <c r="X5" s="1"/>
      <c r="Y5" s="1"/>
      <c r="Z5" s="1"/>
      <c r="AA5" s="1"/>
    </row>
    <row r="6" spans="1:27" ht="15.4" thickBot="1">
      <c r="A6" s="1"/>
      <c r="B6" s="1"/>
      <c r="C6" s="1"/>
      <c r="D6" s="1"/>
      <c r="E6" s="1"/>
      <c r="F6" s="1"/>
      <c r="G6" s="74" t="s">
        <v>59</v>
      </c>
      <c r="H6" s="75"/>
      <c r="I6" s="75"/>
      <c r="J6" s="75"/>
      <c r="K6" s="75"/>
      <c r="L6" s="75"/>
      <c r="M6" s="75"/>
      <c r="N6" s="75"/>
      <c r="O6" s="75"/>
      <c r="P6" s="76"/>
      <c r="Q6" s="77" t="s">
        <v>63</v>
      </c>
      <c r="R6" s="78"/>
      <c r="S6" s="78"/>
      <c r="T6" s="78"/>
      <c r="U6" s="79"/>
      <c r="V6" s="1"/>
      <c r="W6" s="1"/>
      <c r="X6" s="1"/>
      <c r="Y6" s="1"/>
      <c r="Z6" s="1"/>
      <c r="AA6" s="1"/>
    </row>
    <row r="7" spans="1:27" ht="14.65" thickBo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" thickTop="1" thickBot="1">
      <c r="A8" s="65" t="s">
        <v>53</v>
      </c>
      <c r="B8" s="65" t="s">
        <v>52</v>
      </c>
      <c r="C8" s="65" t="s">
        <v>51</v>
      </c>
      <c r="D8" s="65" t="s">
        <v>50</v>
      </c>
      <c r="E8" s="68" t="s">
        <v>49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70"/>
      <c r="U8" s="68" t="s">
        <v>48</v>
      </c>
      <c r="V8" s="69"/>
      <c r="W8" s="69"/>
      <c r="X8" s="69"/>
      <c r="Y8" s="69"/>
      <c r="Z8" s="70"/>
      <c r="AA8" s="65" t="s">
        <v>47</v>
      </c>
    </row>
    <row r="9" spans="1:27" ht="15" thickTop="1" thickBot="1">
      <c r="A9" s="66"/>
      <c r="B9" s="66"/>
      <c r="C9" s="66"/>
      <c r="D9" s="66"/>
      <c r="E9" s="91">
        <v>1</v>
      </c>
      <c r="F9" s="63">
        <v>2</v>
      </c>
      <c r="G9" s="63">
        <v>3</v>
      </c>
      <c r="H9" s="63">
        <v>4</v>
      </c>
      <c r="I9" s="63">
        <v>5</v>
      </c>
      <c r="J9" s="63">
        <v>6</v>
      </c>
      <c r="K9" s="63">
        <v>7</v>
      </c>
      <c r="L9" s="63">
        <v>8</v>
      </c>
      <c r="M9" s="63">
        <v>9</v>
      </c>
      <c r="N9" s="63">
        <v>10</v>
      </c>
      <c r="O9" s="63">
        <v>11</v>
      </c>
      <c r="P9" s="63">
        <v>12</v>
      </c>
      <c r="Q9" s="63">
        <v>13</v>
      </c>
      <c r="R9" s="63">
        <v>14</v>
      </c>
      <c r="S9" s="63">
        <v>15</v>
      </c>
      <c r="T9" s="89" t="s">
        <v>46</v>
      </c>
      <c r="U9" s="65" t="s">
        <v>45</v>
      </c>
      <c r="V9" s="68" t="s">
        <v>44</v>
      </c>
      <c r="W9" s="69"/>
      <c r="X9" s="69"/>
      <c r="Y9" s="69"/>
      <c r="Z9" s="70"/>
      <c r="AA9" s="66"/>
    </row>
    <row r="10" spans="1:27" ht="15" thickTop="1" thickBot="1">
      <c r="A10" s="66"/>
      <c r="B10" s="66"/>
      <c r="C10" s="66"/>
      <c r="D10" s="66"/>
      <c r="E10" s="92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90"/>
      <c r="U10" s="66"/>
      <c r="V10" s="65" t="s">
        <v>43</v>
      </c>
      <c r="W10" s="68" t="s">
        <v>42</v>
      </c>
      <c r="X10" s="69"/>
      <c r="Y10" s="69"/>
      <c r="Z10" s="70"/>
      <c r="AA10" s="66"/>
    </row>
    <row r="11" spans="1:27" ht="31.15" thickTop="1" thickBot="1">
      <c r="A11" s="67"/>
      <c r="B11" s="67"/>
      <c r="C11" s="67"/>
      <c r="D11" s="67"/>
      <c r="E11" s="8">
        <v>16</v>
      </c>
      <c r="F11" s="8">
        <v>17</v>
      </c>
      <c r="G11" s="8">
        <v>18</v>
      </c>
      <c r="H11" s="8">
        <v>19</v>
      </c>
      <c r="I11" s="8">
        <v>20</v>
      </c>
      <c r="J11" s="8">
        <v>21</v>
      </c>
      <c r="K11" s="8">
        <v>22</v>
      </c>
      <c r="L11" s="8">
        <v>23</v>
      </c>
      <c r="M11" s="8">
        <v>24</v>
      </c>
      <c r="N11" s="8">
        <v>25</v>
      </c>
      <c r="O11" s="8">
        <v>26</v>
      </c>
      <c r="P11" s="8">
        <v>27</v>
      </c>
      <c r="Q11" s="8">
        <v>28</v>
      </c>
      <c r="R11" s="8" t="s">
        <v>46</v>
      </c>
      <c r="S11" s="8" t="s">
        <v>46</v>
      </c>
      <c r="T11" s="9" t="s">
        <v>46</v>
      </c>
      <c r="U11" s="67"/>
      <c r="V11" s="67"/>
      <c r="W11" s="10" t="s">
        <v>41</v>
      </c>
      <c r="X11" s="10" t="s">
        <v>40</v>
      </c>
      <c r="Y11" s="10" t="s">
        <v>39</v>
      </c>
      <c r="Z11" s="9" t="s">
        <v>38</v>
      </c>
      <c r="AA11" s="67"/>
    </row>
    <row r="12" spans="1:27" ht="15" thickTop="1" thickBot="1">
      <c r="A12" s="11">
        <v>1</v>
      </c>
      <c r="B12" s="9">
        <v>2</v>
      </c>
      <c r="C12" s="9">
        <v>3</v>
      </c>
      <c r="D12" s="9">
        <v>4</v>
      </c>
      <c r="E12" s="68">
        <v>5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70"/>
      <c r="U12" s="9">
        <v>6</v>
      </c>
      <c r="V12" s="68">
        <v>7</v>
      </c>
      <c r="W12" s="69"/>
      <c r="X12" s="69"/>
      <c r="Y12" s="69"/>
      <c r="Z12" s="70"/>
      <c r="AA12" s="9">
        <v>8</v>
      </c>
    </row>
    <row r="13" spans="1:27" ht="15" thickTop="1" thickBot="1">
      <c r="A13" s="51">
        <v>1</v>
      </c>
      <c r="B13" s="51" t="s">
        <v>62</v>
      </c>
      <c r="C13" s="54">
        <f>INT((ROW()-13)/4)+1</f>
        <v>1</v>
      </c>
      <c r="D13" s="45" t="s">
        <v>37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3" t="s">
        <v>46</v>
      </c>
      <c r="U13" s="57" t="str">
        <f>IF(COUNT(E13:T16)=0, "", COUNT(E13:T16))</f>
        <v/>
      </c>
      <c r="V13" s="60" t="str">
        <f>IF(SUM(E13:T16)=0, "",SUM(E13:T16))</f>
        <v/>
      </c>
      <c r="W13" s="45"/>
      <c r="X13" s="45"/>
      <c r="Y13" s="45"/>
      <c r="Z13" s="45" t="str" cm="1">
        <f t="array" ref="Z13">IF(SUM(COUNTIF(E13:T16, {"В";"ВП";"ДД";"НА"}))=0, "", SUM(COUNTIF(E13:T16, {"В";"ВП";"ДД";"НА"})))</f>
        <v/>
      </c>
      <c r="AA13" s="48" t="str">
        <f>IF(COUNTIF(E13:T16, "ВВ")=0, "", COUNTIF(E13:T16, "ВВ"))</f>
        <v/>
      </c>
    </row>
    <row r="14" spans="1:27" ht="14.65" thickBot="1">
      <c r="A14" s="52"/>
      <c r="B14" s="52"/>
      <c r="C14" s="55"/>
      <c r="D14" s="46"/>
      <c r="E14" s="12" t="str">
        <f>IF(OR(E13="ВД", E13="Р"), 8, IF(OR(E13="X", E13="Х"), "X", ""))</f>
        <v/>
      </c>
      <c r="F14" s="12" t="str">
        <f>IF(OR(F13="ВД", F13="Р"), 8, IF(OR(F13="X", F13="Х"), "X", ""))</f>
        <v/>
      </c>
      <c r="G14" s="12" t="str">
        <f t="shared" ref="G14:T14" si="0">IF(OR(G13="ВД", G13="Р"), 8, IF(OR(G13="X", G13="Х"), "X", ""))</f>
        <v/>
      </c>
      <c r="H14" s="12" t="str">
        <f t="shared" si="0"/>
        <v/>
      </c>
      <c r="I14" s="12" t="str">
        <f t="shared" si="0"/>
        <v/>
      </c>
      <c r="J14" s="12" t="str">
        <f t="shared" si="0"/>
        <v/>
      </c>
      <c r="K14" s="12" t="str">
        <f t="shared" si="0"/>
        <v/>
      </c>
      <c r="L14" s="12" t="str">
        <f t="shared" si="0"/>
        <v/>
      </c>
      <c r="M14" s="12" t="str">
        <f t="shared" si="0"/>
        <v/>
      </c>
      <c r="N14" s="12" t="str">
        <f t="shared" si="0"/>
        <v/>
      </c>
      <c r="O14" s="12" t="str">
        <f t="shared" si="0"/>
        <v/>
      </c>
      <c r="P14" s="12" t="str">
        <f t="shared" si="0"/>
        <v/>
      </c>
      <c r="Q14" s="12" t="str">
        <f t="shared" si="0"/>
        <v/>
      </c>
      <c r="R14" s="12" t="str">
        <f t="shared" si="0"/>
        <v/>
      </c>
      <c r="S14" s="12" t="str">
        <f t="shared" si="0"/>
        <v/>
      </c>
      <c r="T14" s="12" t="str">
        <f t="shared" si="0"/>
        <v>X</v>
      </c>
      <c r="U14" s="58"/>
      <c r="V14" s="61"/>
      <c r="W14" s="46"/>
      <c r="X14" s="46"/>
      <c r="Y14" s="46"/>
      <c r="Z14" s="46"/>
      <c r="AA14" s="49"/>
    </row>
    <row r="15" spans="1:27" ht="14.65" thickBot="1">
      <c r="A15" s="52"/>
      <c r="B15" s="52"/>
      <c r="C15" s="55"/>
      <c r="D15" s="46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 t="s">
        <v>46</v>
      </c>
      <c r="S15" s="12" t="s">
        <v>46</v>
      </c>
      <c r="T15" s="13" t="s">
        <v>46</v>
      </c>
      <c r="U15" s="58"/>
      <c r="V15" s="61"/>
      <c r="W15" s="46"/>
      <c r="X15" s="46"/>
      <c r="Y15" s="46"/>
      <c r="Z15" s="46"/>
      <c r="AA15" s="49"/>
    </row>
    <row r="16" spans="1:27" ht="14.65" thickBot="1">
      <c r="A16" s="53"/>
      <c r="B16" s="53"/>
      <c r="C16" s="56"/>
      <c r="D16" s="47"/>
      <c r="E16" s="12" t="str">
        <f>IF(OR(E15="ВД", E15="Р"), 8, IF(OR(E15="X", E15="Х"), "X", ""))</f>
        <v/>
      </c>
      <c r="F16" s="12" t="str">
        <f>IF(OR(F15="ВД", F15="Р"), 8, IF(OR(F15="X", F15="Х"), "X", ""))</f>
        <v/>
      </c>
      <c r="G16" s="12" t="str">
        <f t="shared" ref="G16" si="1">IF(OR(G15="ВД", G15="Р"), 8, IF(OR(G15="X", G15="Х"), "X", ""))</f>
        <v/>
      </c>
      <c r="H16" s="12" t="str">
        <f t="shared" ref="H16" si="2">IF(OR(H15="ВД", H15="Р"), 8, IF(OR(H15="X", H15="Х"), "X", ""))</f>
        <v/>
      </c>
      <c r="I16" s="12" t="str">
        <f t="shared" ref="I16" si="3">IF(OR(I15="ВД", I15="Р"), 8, IF(OR(I15="X", I15="Х"), "X", ""))</f>
        <v/>
      </c>
      <c r="J16" s="12" t="str">
        <f t="shared" ref="J16" si="4">IF(OR(J15="ВД", J15="Р"), 8, IF(OR(J15="X", J15="Х"), "X", ""))</f>
        <v/>
      </c>
      <c r="K16" s="12" t="str">
        <f t="shared" ref="K16" si="5">IF(OR(K15="ВД", K15="Р"), 8, IF(OR(K15="X", K15="Х"), "X", ""))</f>
        <v/>
      </c>
      <c r="L16" s="12" t="str">
        <f t="shared" ref="L16" si="6">IF(OR(L15="ВД", L15="Р"), 8, IF(OR(L15="X", L15="Х"), "X", ""))</f>
        <v/>
      </c>
      <c r="M16" s="12" t="str">
        <f t="shared" ref="M16" si="7">IF(OR(M15="ВД", M15="Р"), 8, IF(OR(M15="X", M15="Х"), "X", ""))</f>
        <v/>
      </c>
      <c r="N16" s="12" t="str">
        <f t="shared" ref="N16" si="8">IF(OR(N15="ВД", N15="Р"), 8, IF(OR(N15="X", N15="Х"), "X", ""))</f>
        <v/>
      </c>
      <c r="O16" s="12" t="str">
        <f t="shared" ref="O16" si="9">IF(OR(O15="ВД", O15="Р"), 8, IF(OR(O15="X", O15="Х"), "X", ""))</f>
        <v/>
      </c>
      <c r="P16" s="12" t="str">
        <f t="shared" ref="P16" si="10">IF(OR(P15="ВД", P15="Р"), 8, IF(OR(P15="X", P15="Х"), "X", ""))</f>
        <v/>
      </c>
      <c r="Q16" s="12" t="str">
        <f t="shared" ref="Q16" si="11">IF(OR(Q15="ВД", Q15="Р"), 8, IF(OR(Q15="X", Q15="Х"), "X", ""))</f>
        <v/>
      </c>
      <c r="R16" s="12" t="str">
        <f t="shared" ref="R16" si="12">IF(OR(R15="ВД", R15="Р"), 8, IF(OR(R15="X", R15="Х"), "X", ""))</f>
        <v>X</v>
      </c>
      <c r="S16" s="12" t="str">
        <f t="shared" ref="S16" si="13">IF(OR(S15="ВД", S15="Р"), 8, IF(OR(S15="X", S15="Х"), "X", ""))</f>
        <v>X</v>
      </c>
      <c r="T16" s="12" t="str">
        <f t="shared" ref="T16" si="14">IF(OR(T15="ВД", T15="Р"), 8, IF(OR(T15="X", T15="Х"), "X", ""))</f>
        <v>X</v>
      </c>
      <c r="U16" s="59"/>
      <c r="V16" s="62"/>
      <c r="W16" s="47"/>
      <c r="X16" s="47"/>
      <c r="Y16" s="47"/>
      <c r="Z16" s="47"/>
      <c r="AA16" s="50"/>
    </row>
    <row r="17" spans="1:27" ht="15" thickTop="1" thickBot="1">
      <c r="A17" s="51">
        <v>2</v>
      </c>
      <c r="B17" s="54" t="s">
        <v>62</v>
      </c>
      <c r="C17" s="54">
        <f>INT((ROW()-13)/4)+1</f>
        <v>2</v>
      </c>
      <c r="D17" s="45" t="s">
        <v>37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3" t="s">
        <v>46</v>
      </c>
      <c r="U17" s="57" t="str">
        <f t="shared" ref="U17" si="15">IF(COUNT(E17:T20)=0, "", COUNT(E17:T20))</f>
        <v/>
      </c>
      <c r="V17" s="60" t="str">
        <f t="shared" ref="V17" si="16">IF(SUM(E17:T20)=0, "",SUM(E17:T20))</f>
        <v/>
      </c>
      <c r="W17" s="45"/>
      <c r="X17" s="45"/>
      <c r="Y17" s="45"/>
      <c r="Z17" s="45" t="str" cm="1">
        <f t="array" ref="Z17">IF(SUM(COUNTIF(E17:T20, {"В";"ВП";"ДД";"НА"}))=0, "", SUM(COUNTIF(E17:T20, {"В";"ВП";"ДД";"НА"})))</f>
        <v/>
      </c>
      <c r="AA17" s="48" t="str">
        <f t="shared" ref="AA17" si="17">IF(COUNTIF(E17:T20, "ВВ")=0, "", COUNTIF(E17:T20, "ВВ"))</f>
        <v/>
      </c>
    </row>
    <row r="18" spans="1:27" ht="14.65" thickBot="1">
      <c r="A18" s="52"/>
      <c r="B18" s="55"/>
      <c r="C18" s="55"/>
      <c r="D18" s="46"/>
      <c r="E18" s="12" t="str">
        <f>IF(OR(E17="ВД", E17="Р"), 8, IF(OR(E17="X", E17="Х"), "X", ""))</f>
        <v/>
      </c>
      <c r="F18" s="12" t="str">
        <f>IF(OR(F17="ВД", F17="Р"), 8, IF(OR(F17="X", F17="Х"), "X", ""))</f>
        <v/>
      </c>
      <c r="G18" s="12" t="str">
        <f t="shared" ref="G18" si="18">IF(OR(G17="ВД", G17="Р"), 8, IF(OR(G17="X", G17="Х"), "X", ""))</f>
        <v/>
      </c>
      <c r="H18" s="12" t="str">
        <f t="shared" ref="H18" si="19">IF(OR(H17="ВД", H17="Р"), 8, IF(OR(H17="X", H17="Х"), "X", ""))</f>
        <v/>
      </c>
      <c r="I18" s="12" t="str">
        <f t="shared" ref="I18" si="20">IF(OR(I17="ВД", I17="Р"), 8, IF(OR(I17="X", I17="Х"), "X", ""))</f>
        <v/>
      </c>
      <c r="J18" s="12" t="str">
        <f t="shared" ref="J18" si="21">IF(OR(J17="ВД", J17="Р"), 8, IF(OR(J17="X", J17="Х"), "X", ""))</f>
        <v/>
      </c>
      <c r="K18" s="12" t="str">
        <f t="shared" ref="K18" si="22">IF(OR(K17="ВД", K17="Р"), 8, IF(OR(K17="X", K17="Х"), "X", ""))</f>
        <v/>
      </c>
      <c r="L18" s="12" t="str">
        <f t="shared" ref="L18" si="23">IF(OR(L17="ВД", L17="Р"), 8, IF(OR(L17="X", L17="Х"), "X", ""))</f>
        <v/>
      </c>
      <c r="M18" s="12" t="str">
        <f t="shared" ref="M18" si="24">IF(OR(M17="ВД", M17="Р"), 8, IF(OR(M17="X", M17="Х"), "X", ""))</f>
        <v/>
      </c>
      <c r="N18" s="12" t="str">
        <f t="shared" ref="N18" si="25">IF(OR(N17="ВД", N17="Р"), 8, IF(OR(N17="X", N17="Х"), "X", ""))</f>
        <v/>
      </c>
      <c r="O18" s="12" t="str">
        <f t="shared" ref="O18" si="26">IF(OR(O17="ВД", O17="Р"), 8, IF(OR(O17="X", O17="Х"), "X", ""))</f>
        <v/>
      </c>
      <c r="P18" s="12" t="str">
        <f t="shared" ref="P18" si="27">IF(OR(P17="ВД", P17="Р"), 8, IF(OR(P17="X", P17="Х"), "X", ""))</f>
        <v/>
      </c>
      <c r="Q18" s="12" t="str">
        <f t="shared" ref="Q18" si="28">IF(OR(Q17="ВД", Q17="Р"), 8, IF(OR(Q17="X", Q17="Х"), "X", ""))</f>
        <v/>
      </c>
      <c r="R18" s="12" t="str">
        <f t="shared" ref="R18" si="29">IF(OR(R17="ВД", R17="Р"), 8, IF(OR(R17="X", R17="Х"), "X", ""))</f>
        <v/>
      </c>
      <c r="S18" s="12" t="str">
        <f t="shared" ref="S18" si="30">IF(OR(S17="ВД", S17="Р"), 8, IF(OR(S17="X", S17="Х"), "X", ""))</f>
        <v/>
      </c>
      <c r="T18" s="12" t="str">
        <f t="shared" ref="T18" si="31">IF(OR(T17="ВД", T17="Р"), 8, IF(OR(T17="X", T17="Х"), "X", ""))</f>
        <v>X</v>
      </c>
      <c r="U18" s="58"/>
      <c r="V18" s="61"/>
      <c r="W18" s="46"/>
      <c r="X18" s="46"/>
      <c r="Y18" s="46"/>
      <c r="Z18" s="46"/>
      <c r="AA18" s="49"/>
    </row>
    <row r="19" spans="1:27" ht="14.65" thickBot="1">
      <c r="A19" s="52"/>
      <c r="B19" s="55"/>
      <c r="C19" s="55"/>
      <c r="D19" s="46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 t="s">
        <v>46</v>
      </c>
      <c r="S19" s="12" t="s">
        <v>46</v>
      </c>
      <c r="T19" s="13" t="s">
        <v>46</v>
      </c>
      <c r="U19" s="58"/>
      <c r="V19" s="61"/>
      <c r="W19" s="46"/>
      <c r="X19" s="46"/>
      <c r="Y19" s="46"/>
      <c r="Z19" s="46"/>
      <c r="AA19" s="49"/>
    </row>
    <row r="20" spans="1:27" ht="14.65" thickBot="1">
      <c r="A20" s="53"/>
      <c r="B20" s="56"/>
      <c r="C20" s="55"/>
      <c r="D20" s="46"/>
      <c r="E20" s="19" t="str">
        <f>IF(OR(E19="ВД", E19="Р"), 8, IF(OR(E19="X", E19="Х"), "X", ""))</f>
        <v/>
      </c>
      <c r="F20" s="19" t="str">
        <f>IF(OR(F19="ВД", F19="Р"), 8, IF(OR(F19="X", F19="Х"), "X", ""))</f>
        <v/>
      </c>
      <c r="G20" s="19" t="str">
        <f t="shared" ref="G20" si="32">IF(OR(G19="ВД", G19="Р"), 8, IF(OR(G19="X", G19="Х"), "X", ""))</f>
        <v/>
      </c>
      <c r="H20" s="19" t="str">
        <f t="shared" ref="H20" si="33">IF(OR(H19="ВД", H19="Р"), 8, IF(OR(H19="X", H19="Х"), "X", ""))</f>
        <v/>
      </c>
      <c r="I20" s="19" t="str">
        <f t="shared" ref="I20" si="34">IF(OR(I19="ВД", I19="Р"), 8, IF(OR(I19="X", I19="Х"), "X", ""))</f>
        <v/>
      </c>
      <c r="J20" s="19" t="str">
        <f t="shared" ref="J20" si="35">IF(OR(J19="ВД", J19="Р"), 8, IF(OR(J19="X", J19="Х"), "X", ""))</f>
        <v/>
      </c>
      <c r="K20" s="19" t="str">
        <f t="shared" ref="K20" si="36">IF(OR(K19="ВД", K19="Р"), 8, IF(OR(K19="X", K19="Х"), "X", ""))</f>
        <v/>
      </c>
      <c r="L20" s="19" t="str">
        <f t="shared" ref="L20" si="37">IF(OR(L19="ВД", L19="Р"), 8, IF(OR(L19="X", L19="Х"), "X", ""))</f>
        <v/>
      </c>
      <c r="M20" s="19" t="str">
        <f t="shared" ref="M20" si="38">IF(OR(M19="ВД", M19="Р"), 8, IF(OR(M19="X", M19="Х"), "X", ""))</f>
        <v/>
      </c>
      <c r="N20" s="19" t="str">
        <f t="shared" ref="N20" si="39">IF(OR(N19="ВД", N19="Р"), 8, IF(OR(N19="X", N19="Х"), "X", ""))</f>
        <v/>
      </c>
      <c r="O20" s="19" t="str">
        <f t="shared" ref="O20" si="40">IF(OR(O19="ВД", O19="Р"), 8, IF(OR(O19="X", O19="Х"), "X", ""))</f>
        <v/>
      </c>
      <c r="P20" s="19" t="str">
        <f t="shared" ref="P20" si="41">IF(OR(P19="ВД", P19="Р"), 8, IF(OR(P19="X", P19="Х"), "X", ""))</f>
        <v/>
      </c>
      <c r="Q20" s="19" t="str">
        <f t="shared" ref="Q20" si="42">IF(OR(Q19="ВД", Q19="Р"), 8, IF(OR(Q19="X", Q19="Х"), "X", ""))</f>
        <v/>
      </c>
      <c r="R20" s="19" t="str">
        <f t="shared" ref="R20" si="43">IF(OR(R19="ВД", R19="Р"), 8, IF(OR(R19="X", R19="Х"), "X", ""))</f>
        <v>X</v>
      </c>
      <c r="S20" s="19" t="str">
        <f t="shared" ref="S20" si="44">IF(OR(S19="ВД", S19="Р"), 8, IF(OR(S19="X", S19="Х"), "X", ""))</f>
        <v>X</v>
      </c>
      <c r="T20" s="19" t="str">
        <f t="shared" ref="T20" si="45">IF(OR(T19="ВД", T19="Р"), 8, IF(OR(T19="X", T19="Х"), "X", ""))</f>
        <v>X</v>
      </c>
      <c r="U20" s="59"/>
      <c r="V20" s="62"/>
      <c r="W20" s="47"/>
      <c r="X20" s="47"/>
      <c r="Y20" s="47"/>
      <c r="Z20" s="47"/>
      <c r="AA20" s="50"/>
    </row>
    <row r="21" spans="1:27" ht="14.65" thickTop="1">
      <c r="A21" s="37"/>
      <c r="B21" s="37" t="s">
        <v>36</v>
      </c>
      <c r="C21" s="39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23" t="str">
        <f t="shared" ref="U21:AA21" si="46">IF(SUM(U13:U20)=0, "", SUM(U13:U20))</f>
        <v/>
      </c>
      <c r="V21" s="23" t="str">
        <f t="shared" si="46"/>
        <v/>
      </c>
      <c r="W21" s="23" t="str">
        <f t="shared" si="46"/>
        <v/>
      </c>
      <c r="X21" s="23" t="str">
        <f t="shared" si="46"/>
        <v/>
      </c>
      <c r="Y21" s="23" t="str">
        <f t="shared" si="46"/>
        <v/>
      </c>
      <c r="Z21" s="23" t="str">
        <f t="shared" si="46"/>
        <v/>
      </c>
      <c r="AA21" s="23" t="str">
        <f t="shared" si="46"/>
        <v/>
      </c>
    </row>
    <row r="22" spans="1:27" ht="14.65" thickBot="1">
      <c r="A22" s="38"/>
      <c r="B22" s="38"/>
      <c r="C22" s="42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4"/>
      <c r="U22" s="24"/>
      <c r="V22" s="24"/>
      <c r="W22" s="24"/>
      <c r="X22" s="24"/>
      <c r="Y22" s="24"/>
      <c r="Z22" s="24"/>
      <c r="AA22" s="24"/>
    </row>
    <row r="23" spans="1:27" ht="14.65" thickBot="1">
      <c r="A23" s="14"/>
      <c r="B23" s="14"/>
      <c r="C23" s="14"/>
      <c r="D23" s="14"/>
      <c r="E23" s="14"/>
      <c r="F23" s="14"/>
      <c r="G23" s="14"/>
      <c r="H23" s="14"/>
      <c r="I23" s="14"/>
      <c r="J23" s="15"/>
      <c r="K23" s="15"/>
      <c r="L23" s="14"/>
      <c r="M23" s="14"/>
      <c r="N23" s="15"/>
      <c r="O23" s="15"/>
      <c r="P23" s="14"/>
      <c r="Q23" s="14"/>
      <c r="R23" s="14"/>
      <c r="S23" s="14"/>
      <c r="T23" s="15"/>
      <c r="U23" s="16"/>
      <c r="V23" s="16"/>
      <c r="W23" s="16"/>
      <c r="X23" s="16"/>
      <c r="Y23" s="16"/>
      <c r="Z23" s="16"/>
      <c r="AA23" s="14"/>
    </row>
    <row r="24" spans="1:27" ht="14.65" thickBot="1">
      <c r="A24" s="14"/>
      <c r="B24" s="14"/>
      <c r="C24" s="14"/>
      <c r="D24" s="25" t="s">
        <v>35</v>
      </c>
      <c r="E24" s="25"/>
      <c r="F24" s="25"/>
      <c r="G24" s="25"/>
      <c r="H24" s="25"/>
      <c r="I24" s="26"/>
      <c r="J24" s="17"/>
      <c r="K24" s="27"/>
      <c r="L24" s="28"/>
      <c r="M24" s="29"/>
      <c r="N24" s="17"/>
      <c r="O24" s="30" t="s">
        <v>60</v>
      </c>
      <c r="P24" s="25"/>
      <c r="Q24" s="25"/>
      <c r="R24" s="25"/>
      <c r="S24" s="26"/>
      <c r="T24" s="17"/>
      <c r="U24" s="16"/>
      <c r="V24" s="16"/>
      <c r="W24" s="16"/>
      <c r="X24" s="16"/>
      <c r="Y24" s="16"/>
      <c r="Z24" s="16"/>
      <c r="AA24" s="14"/>
    </row>
    <row r="25" spans="1:27" ht="14.65" thickBot="1">
      <c r="A25" s="1"/>
      <c r="B25" s="6"/>
      <c r="C25" s="1"/>
      <c r="D25" s="31" t="s">
        <v>34</v>
      </c>
      <c r="E25" s="32"/>
      <c r="F25" s="32"/>
      <c r="G25" s="32"/>
      <c r="H25" s="32"/>
      <c r="I25" s="33"/>
      <c r="J25" s="1"/>
      <c r="K25" s="31" t="s">
        <v>33</v>
      </c>
      <c r="L25" s="32"/>
      <c r="M25" s="33"/>
      <c r="N25" s="1"/>
      <c r="O25" s="31" t="s">
        <v>32</v>
      </c>
      <c r="P25" s="32"/>
      <c r="Q25" s="32"/>
      <c r="R25" s="32"/>
      <c r="S25" s="33"/>
      <c r="T25" s="1"/>
      <c r="U25" s="1"/>
      <c r="V25" s="18"/>
      <c r="W25" s="1"/>
      <c r="X25" s="1"/>
      <c r="Y25" s="1"/>
      <c r="Z25" s="1"/>
      <c r="AA25" s="1"/>
    </row>
    <row r="26" spans="1:27" ht="14.65" thickBot="1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"/>
      <c r="Z26" s="1"/>
      <c r="AA26" s="1"/>
    </row>
    <row r="27" spans="1:27" ht="14.65" thickBot="1">
      <c r="A27" s="1"/>
      <c r="B27" s="4"/>
      <c r="C27" s="34" t="s">
        <v>31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6"/>
      <c r="Y27" s="1"/>
      <c r="Z27" s="1"/>
      <c r="AA27" s="1"/>
    </row>
    <row r="28" spans="1:27" ht="14.65" thickBot="1">
      <c r="A28" s="1"/>
      <c r="B28" s="4"/>
      <c r="C28" s="12" t="s">
        <v>30</v>
      </c>
      <c r="D28" s="12" t="s">
        <v>1</v>
      </c>
      <c r="E28" s="20" t="s">
        <v>29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2"/>
      <c r="Y28" s="1"/>
      <c r="Z28" s="1"/>
      <c r="AA28" s="1"/>
    </row>
    <row r="29" spans="1:27" ht="14.65" thickBot="1">
      <c r="A29" s="1"/>
      <c r="B29" s="4"/>
      <c r="C29" s="12" t="s">
        <v>28</v>
      </c>
      <c r="D29" s="12" t="s">
        <v>1</v>
      </c>
      <c r="E29" s="20" t="s">
        <v>27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2"/>
      <c r="Y29" s="1"/>
      <c r="Z29" s="1"/>
      <c r="AA29" s="1"/>
    </row>
    <row r="30" spans="1:27" ht="14.65" thickBot="1">
      <c r="A30" s="1"/>
      <c r="B30" s="4"/>
      <c r="C30" s="12" t="s">
        <v>26</v>
      </c>
      <c r="D30" s="12" t="s">
        <v>1</v>
      </c>
      <c r="E30" s="20" t="s">
        <v>25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2"/>
      <c r="Y30" s="1"/>
      <c r="Z30" s="1"/>
      <c r="AA30" s="1"/>
    </row>
    <row r="31" spans="1:27" ht="14.65" thickBot="1">
      <c r="A31" s="1"/>
      <c r="B31" s="4"/>
      <c r="C31" s="12" t="s">
        <v>24</v>
      </c>
      <c r="D31" s="12" t="s">
        <v>1</v>
      </c>
      <c r="E31" s="20" t="s">
        <v>23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2"/>
      <c r="Y31" s="1"/>
      <c r="Z31" s="1"/>
      <c r="AA31" s="1"/>
    </row>
    <row r="32" spans="1:27" ht="14.65" thickBot="1">
      <c r="A32" s="1"/>
      <c r="B32" s="4"/>
      <c r="C32" s="12" t="s">
        <v>22</v>
      </c>
      <c r="D32" s="12" t="s">
        <v>1</v>
      </c>
      <c r="E32" s="20" t="s">
        <v>21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2"/>
      <c r="Y32" s="1"/>
      <c r="Z32" s="1"/>
      <c r="AA32" s="1"/>
    </row>
    <row r="33" spans="1:27" ht="14.65" thickBot="1">
      <c r="A33" s="1"/>
      <c r="B33" s="4"/>
      <c r="C33" s="12" t="s">
        <v>20</v>
      </c>
      <c r="D33" s="12" t="s">
        <v>1</v>
      </c>
      <c r="E33" s="20" t="s">
        <v>19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2"/>
      <c r="Y33" s="1"/>
      <c r="Z33" s="1"/>
      <c r="AA33" s="1"/>
    </row>
    <row r="34" spans="1:27" ht="14.65" thickBot="1">
      <c r="A34" s="1"/>
      <c r="B34" s="4"/>
      <c r="C34" s="12" t="s">
        <v>18</v>
      </c>
      <c r="D34" s="12" t="s">
        <v>1</v>
      </c>
      <c r="E34" s="20" t="s">
        <v>17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2"/>
      <c r="Y34" s="1"/>
      <c r="Z34" s="1"/>
      <c r="AA34" s="1"/>
    </row>
    <row r="35" spans="1:27" ht="14.65" thickBot="1">
      <c r="A35" s="1"/>
      <c r="B35" s="4"/>
      <c r="C35" s="12" t="s">
        <v>16</v>
      </c>
      <c r="D35" s="12" t="s">
        <v>1</v>
      </c>
      <c r="E35" s="20" t="s">
        <v>15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2"/>
      <c r="Y35" s="1"/>
      <c r="Z35" s="1"/>
      <c r="AA35" s="1"/>
    </row>
    <row r="36" spans="1:27" ht="14.65" thickBot="1">
      <c r="A36" s="1"/>
      <c r="B36" s="4"/>
      <c r="C36" s="12" t="s">
        <v>14</v>
      </c>
      <c r="D36" s="12" t="s">
        <v>1</v>
      </c>
      <c r="E36" s="20" t="s">
        <v>13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2"/>
      <c r="Y36" s="1"/>
      <c r="Z36" s="1"/>
      <c r="AA36" s="1"/>
    </row>
    <row r="37" spans="1:27" ht="14.65" thickBot="1">
      <c r="A37" s="1"/>
      <c r="B37" s="4"/>
      <c r="C37" s="12" t="s">
        <v>12</v>
      </c>
      <c r="D37" s="12" t="s">
        <v>1</v>
      </c>
      <c r="E37" s="20" t="s">
        <v>11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2"/>
      <c r="Y37" s="1"/>
      <c r="Z37" s="1"/>
      <c r="AA37" s="1"/>
    </row>
    <row r="38" spans="1:27" ht="14.65" thickBot="1">
      <c r="A38" s="1"/>
      <c r="B38" s="4"/>
      <c r="C38" s="12" t="s">
        <v>10</v>
      </c>
      <c r="D38" s="12" t="s">
        <v>1</v>
      </c>
      <c r="E38" s="20" t="s">
        <v>9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2"/>
      <c r="Y38" s="1"/>
      <c r="Z38" s="1"/>
      <c r="AA38" s="1"/>
    </row>
    <row r="39" spans="1:27" ht="14.65" thickBot="1">
      <c r="A39" s="1"/>
      <c r="B39" s="4"/>
      <c r="C39" s="12" t="s">
        <v>8</v>
      </c>
      <c r="D39" s="12" t="s">
        <v>1</v>
      </c>
      <c r="E39" s="20" t="s">
        <v>7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2"/>
      <c r="Y39" s="1"/>
      <c r="Z39" s="1"/>
      <c r="AA39" s="1"/>
    </row>
    <row r="40" spans="1:27" ht="14.65" thickBot="1">
      <c r="A40" s="1"/>
      <c r="B40" s="4"/>
      <c r="C40" s="12" t="s">
        <v>6</v>
      </c>
      <c r="D40" s="12" t="s">
        <v>1</v>
      </c>
      <c r="E40" s="20" t="s">
        <v>5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2"/>
      <c r="Y40" s="1"/>
      <c r="Z40" s="1"/>
      <c r="AA40" s="1"/>
    </row>
    <row r="41" spans="1:27" ht="14.65" thickBot="1">
      <c r="A41" s="1"/>
      <c r="B41" s="4"/>
      <c r="C41" s="12" t="s">
        <v>4</v>
      </c>
      <c r="D41" s="12" t="s">
        <v>1</v>
      </c>
      <c r="E41" s="20" t="s">
        <v>3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2"/>
      <c r="Y41" s="1"/>
      <c r="Z41" s="1"/>
      <c r="AA41" s="1"/>
    </row>
    <row r="42" spans="1:27" ht="14.65" thickBot="1">
      <c r="A42" s="1"/>
      <c r="B42" s="4"/>
      <c r="C42" s="12" t="s">
        <v>2</v>
      </c>
      <c r="D42" s="12" t="s">
        <v>1</v>
      </c>
      <c r="E42" s="20" t="s">
        <v>0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2"/>
      <c r="Y42" s="1"/>
      <c r="Z42" s="1"/>
      <c r="AA42" s="1"/>
    </row>
  </sheetData>
  <mergeCells count="92">
    <mergeCell ref="AA8:AA11"/>
    <mergeCell ref="E9:E10"/>
    <mergeCell ref="F9:F10"/>
    <mergeCell ref="G9:G10"/>
    <mergeCell ref="U8:Z8"/>
    <mergeCell ref="N9:N10"/>
    <mergeCell ref="L9:L10"/>
    <mergeCell ref="M9:M10"/>
    <mergeCell ref="A2:N2"/>
    <mergeCell ref="V2:AA2"/>
    <mergeCell ref="V3:X3"/>
    <mergeCell ref="Y3:AA3"/>
    <mergeCell ref="V4:X4"/>
    <mergeCell ref="Y4:AA4"/>
    <mergeCell ref="H5:T5"/>
    <mergeCell ref="G6:P6"/>
    <mergeCell ref="Q6:U6"/>
    <mergeCell ref="A8:A11"/>
    <mergeCell ref="B8:B11"/>
    <mergeCell ref="C8:C11"/>
    <mergeCell ref="D8:D11"/>
    <mergeCell ref="E8:T8"/>
    <mergeCell ref="S9:S10"/>
    <mergeCell ref="T9:T10"/>
    <mergeCell ref="X13:X16"/>
    <mergeCell ref="Y13:Y16"/>
    <mergeCell ref="H9:H10"/>
    <mergeCell ref="I9:I10"/>
    <mergeCell ref="J9:J10"/>
    <mergeCell ref="K9:K10"/>
    <mergeCell ref="U9:U11"/>
    <mergeCell ref="V9:Z9"/>
    <mergeCell ref="V10:V11"/>
    <mergeCell ref="W10:Z10"/>
    <mergeCell ref="E12:T12"/>
    <mergeCell ref="V12:Z12"/>
    <mergeCell ref="O9:O10"/>
    <mergeCell ref="P9:P10"/>
    <mergeCell ref="Q9:Q10"/>
    <mergeCell ref="R9:R10"/>
    <mergeCell ref="C13:C16"/>
    <mergeCell ref="D13:D16"/>
    <mergeCell ref="U13:U16"/>
    <mergeCell ref="V13:V16"/>
    <mergeCell ref="W13:W16"/>
    <mergeCell ref="Z21:Z22"/>
    <mergeCell ref="Z13:Z16"/>
    <mergeCell ref="AA13:AA16"/>
    <mergeCell ref="A17:A20"/>
    <mergeCell ref="B17:B20"/>
    <mergeCell ref="C17:C20"/>
    <mergeCell ref="D17:D20"/>
    <mergeCell ref="U17:U20"/>
    <mergeCell ref="V17:V20"/>
    <mergeCell ref="W17:W20"/>
    <mergeCell ref="X17:X20"/>
    <mergeCell ref="Y17:Y20"/>
    <mergeCell ref="Z17:Z20"/>
    <mergeCell ref="AA17:AA20"/>
    <mergeCell ref="A13:A16"/>
    <mergeCell ref="B13:B16"/>
    <mergeCell ref="A21:A22"/>
    <mergeCell ref="B21:B22"/>
    <mergeCell ref="C21:T22"/>
    <mergeCell ref="U21:U22"/>
    <mergeCell ref="V21:V22"/>
    <mergeCell ref="E34:X34"/>
    <mergeCell ref="E35:X35"/>
    <mergeCell ref="E36:X36"/>
    <mergeCell ref="E37:X37"/>
    <mergeCell ref="AA21:AA22"/>
    <mergeCell ref="D24:I24"/>
    <mergeCell ref="K24:M24"/>
    <mergeCell ref="O24:S24"/>
    <mergeCell ref="D25:I25"/>
    <mergeCell ref="K25:M25"/>
    <mergeCell ref="O25:S25"/>
    <mergeCell ref="C27:X27"/>
    <mergeCell ref="E28:X28"/>
    <mergeCell ref="W21:W22"/>
    <mergeCell ref="X21:X22"/>
    <mergeCell ref="Y21:Y22"/>
    <mergeCell ref="E29:X29"/>
    <mergeCell ref="E30:X30"/>
    <mergeCell ref="E31:X31"/>
    <mergeCell ref="E32:X32"/>
    <mergeCell ref="E33:X33"/>
    <mergeCell ref="E38:X38"/>
    <mergeCell ref="E39:X39"/>
    <mergeCell ref="E40:X40"/>
    <mergeCell ref="E41:X41"/>
    <mergeCell ref="E42:X42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Aheienko</dc:creator>
  <cp:lastModifiedBy>Roman Aheienko</cp:lastModifiedBy>
  <dcterms:created xsi:type="dcterms:W3CDTF">2025-02-13T14:00:14Z</dcterms:created>
  <dcterms:modified xsi:type="dcterms:W3CDTF">2026-06-25T09:02:37Z</dcterms:modified>
</cp:coreProperties>
</file>