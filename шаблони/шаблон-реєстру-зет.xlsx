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docs\templates\"/>
    </mc:Choice>
  </mc:AlternateContent>
  <xr:revisionPtr revIDLastSave="0" documentId="13_ncr:1_{6FE8FB1C-B23D-4832-BD7E-D85B7B6D39A6}" xr6:coauthVersionLast="47" xr6:coauthVersionMax="47" xr10:uidLastSave="{00000000-0000-0000-0000-000000000000}"/>
  <bookViews>
    <workbookView xWindow="-98" yWindow="-98" windowWidth="28996" windowHeight="14386" xr2:uid="{00000000-000D-0000-FFFF-FFFF00000000}"/>
  </bookViews>
  <sheets>
    <sheet name="Лист1" sheetId="1" r:id="rId1"/>
  </sheets>
  <definedNames>
    <definedName name="_xlnm.Print_Area" localSheetId="0">Лист1!$A$1:$J$18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H10" i="1"/>
  <c r="G10" i="1"/>
  <c r="I10" i="1" l="1"/>
  <c r="I12" i="1" s="1"/>
  <c r="I11" i="1" s="1"/>
</calcChain>
</file>

<file path=xl/sharedStrings.xml><?xml version="1.0" encoding="utf-8"?>
<sst xmlns="http://schemas.openxmlformats.org/spreadsheetml/2006/main" count="27" uniqueCount="26">
  <si>
    <t>№ авто</t>
  </si>
  <si>
    <t>№ причепу</t>
  </si>
  <si>
    <t>Вага розвантаження, т</t>
  </si>
  <si>
    <t>№ ТТН</t>
  </si>
  <si>
    <t>Ставка за 1 т, без ПДВ</t>
  </si>
  <si>
    <t>ПДВ:</t>
  </si>
  <si>
    <t>Всього сума з ПДВ:</t>
  </si>
  <si>
    <t>Від перевізника</t>
  </si>
  <si>
    <t>Дата розвантаження</t>
  </si>
  <si>
    <t>truck</t>
  </si>
  <si>
    <t>trailer</t>
  </si>
  <si>
    <t>unloadingdate</t>
  </si>
  <si>
    <t>loadingweight</t>
  </si>
  <si>
    <t>bolnumber</t>
  </si>
  <si>
    <t>Вага навантаження, т</t>
  </si>
  <si>
    <t>Загалом сума без ПДВ</t>
  </si>
  <si>
    <t>Сумарна вага, т</t>
  </si>
  <si>
    <t>Реєстр ТТН акт № invoice від  lastdateр. на   перевезення freight за маршрутом  route</t>
  </si>
  <si>
    <t>unloadingweight</t>
  </si>
  <si>
    <t>price</t>
  </si>
  <si>
    <t>customer</t>
  </si>
  <si>
    <t>Всього:</t>
  </si>
  <si>
    <t>sumloadingweight</t>
  </si>
  <si>
    <t>Директор____________Рускевич Д.І.</t>
  </si>
  <si>
    <t>ЄДРПОУ 44976850</t>
  </si>
  <si>
    <t>ТОВ "ЗЕТТРА"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</si>
</sst>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textRotation="90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29950" cy="18859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29950" cy="1885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8"/>
  <sheetViews>
    <sheetView tabSelected="1" zoomScale="130" zoomScaleNormal="130" workbookViewId="0">
      <selection activeCell="C8" sqref="C8"/>
    </sheetView>
  </sheetViews>
  <sheetFormatPr defaultRowHeight="14.25" x14ac:dyDescent="0.45"/>
  <cols>
    <col min="2" max="2" width="21" customWidth="1"/>
    <col min="3" max="3" width="13.33203125" customWidth="1"/>
    <col min="4" max="4" width="11.33203125" bestFit="1" customWidth="1"/>
    <col min="5" max="5" width="20.265625" bestFit="1" customWidth="1"/>
    <col min="6" max="6" width="14.796875" customWidth="1"/>
    <col min="7" max="7" width="22.796875" bestFit="1" customWidth="1"/>
    <col min="8" max="8" width="20.73046875" bestFit="1" customWidth="1"/>
    <col min="9" max="9" width="21.33203125" customWidth="1"/>
    <col min="10" max="10" width="2.19921875" customWidth="1"/>
  </cols>
  <sheetData>
    <row r="1" spans="1:13" ht="14.55" customHeight="1" x14ac:dyDescent="0.45">
      <c r="A1" s="22" t="s">
        <v>20</v>
      </c>
      <c r="B1" s="22"/>
      <c r="C1" s="22"/>
      <c r="D1" s="22"/>
      <c r="E1" s="22"/>
      <c r="F1" s="22"/>
      <c r="G1" s="22"/>
      <c r="H1" s="22"/>
      <c r="I1" s="22"/>
    </row>
    <row r="2" spans="1:13" ht="156.75" customHeight="1" x14ac:dyDescent="0.45">
      <c r="A2" s="22"/>
      <c r="B2" s="22"/>
      <c r="C2" s="22"/>
      <c r="D2" s="22"/>
      <c r="E2" s="22"/>
      <c r="F2" s="22"/>
      <c r="G2" s="22"/>
      <c r="H2" s="22"/>
      <c r="I2" s="22"/>
      <c r="J2" s="17"/>
    </row>
    <row r="3" spans="1:13" x14ac:dyDescent="0.45">
      <c r="A3" s="20" t="s">
        <v>17</v>
      </c>
      <c r="B3" s="20"/>
      <c r="C3" s="20"/>
      <c r="D3" s="20"/>
      <c r="E3" s="20"/>
      <c r="F3" s="20"/>
      <c r="G3" s="20"/>
      <c r="H3" s="20"/>
      <c r="I3" s="20"/>
      <c r="J3" s="20"/>
    </row>
    <row r="4" spans="1:13" ht="14.65" thickBot="1" x14ac:dyDescent="0.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3" ht="14.75" customHeight="1" thickBot="1" x14ac:dyDescent="0.5">
      <c r="B5" s="10" t="s">
        <v>8</v>
      </c>
      <c r="C5" s="11" t="s">
        <v>0</v>
      </c>
      <c r="D5" s="11" t="s">
        <v>1</v>
      </c>
      <c r="E5" s="11" t="s">
        <v>14</v>
      </c>
      <c r="F5" s="11" t="s">
        <v>3</v>
      </c>
      <c r="G5" s="11" t="s">
        <v>2</v>
      </c>
      <c r="H5" s="12" t="s">
        <v>4</v>
      </c>
      <c r="I5" s="1"/>
      <c r="J5" s="21"/>
    </row>
    <row r="6" spans="1:13" x14ac:dyDescent="0.45">
      <c r="A6" s="18">
        <f>ROW() - 5</f>
        <v>1</v>
      </c>
      <c r="B6" s="7" t="s">
        <v>11</v>
      </c>
      <c r="C6" s="8" t="s">
        <v>9</v>
      </c>
      <c r="D6" s="8" t="s">
        <v>10</v>
      </c>
      <c r="E6" s="8" t="s">
        <v>12</v>
      </c>
      <c r="F6" s="9" t="s">
        <v>13</v>
      </c>
      <c r="G6" s="8" t="s">
        <v>18</v>
      </c>
      <c r="H6" s="13" t="s">
        <v>19</v>
      </c>
      <c r="I6" s="6"/>
      <c r="J6" s="21"/>
    </row>
    <row r="7" spans="1:13" x14ac:dyDescent="0.45">
      <c r="A7" s="18">
        <f>ROW() - 5</f>
        <v>2</v>
      </c>
      <c r="B7" s="2"/>
      <c r="C7" s="3"/>
      <c r="D7" s="3"/>
      <c r="E7" s="3"/>
      <c r="F7" s="4"/>
      <c r="G7" s="3"/>
      <c r="H7" s="14"/>
      <c r="I7" s="6"/>
      <c r="J7" s="21"/>
    </row>
    <row r="8" spans="1:13" ht="14.65" thickBot="1" x14ac:dyDescent="0.5">
      <c r="D8" t="s">
        <v>21</v>
      </c>
      <c r="E8" s="19" t="s">
        <v>22</v>
      </c>
      <c r="J8" s="21"/>
    </row>
    <row r="9" spans="1:13" ht="14.65" thickBot="1" x14ac:dyDescent="0.5">
      <c r="G9" s="10" t="s">
        <v>16</v>
      </c>
      <c r="H9" s="11" t="s">
        <v>4</v>
      </c>
      <c r="I9" s="12" t="s">
        <v>15</v>
      </c>
      <c r="J9" s="21"/>
      <c r="K9" s="1"/>
      <c r="L9" s="1"/>
      <c r="M9" s="1"/>
    </row>
    <row r="10" spans="1:13" x14ac:dyDescent="0.45">
      <c r="G10" s="15">
        <f>ROUND(SUM(G6:G7), 2)</f>
        <v>0</v>
      </c>
      <c r="H10" s="13" t="e">
        <f>ROUND(H6,2)</f>
        <v>#VALUE!</v>
      </c>
      <c r="I10" s="15" t="e">
        <f>ROUND(G10*H10,2)</f>
        <v>#VALUE!</v>
      </c>
    </row>
    <row r="11" spans="1:13" x14ac:dyDescent="0.45">
      <c r="H11" t="s">
        <v>5</v>
      </c>
      <c r="I11" s="16" t="e">
        <f>ROUND(IF(I12&gt;I10, I12, I10)/6, 2)</f>
        <v>#VALUE!</v>
      </c>
      <c r="K11" s="5"/>
    </row>
    <row r="12" spans="1:13" x14ac:dyDescent="0.45">
      <c r="H12" t="s">
        <v>6</v>
      </c>
      <c r="I12" s="16" t="e">
        <f>ROUND(I10*1.2,2)</f>
        <v>#VALUE!</v>
      </c>
    </row>
    <row r="14" spans="1:13" x14ac:dyDescent="0.45">
      <c r="H14" t="s">
        <v>7</v>
      </c>
    </row>
    <row r="15" spans="1:13" x14ac:dyDescent="0.45">
      <c r="H15" t="s">
        <v>25</v>
      </c>
    </row>
    <row r="16" spans="1:13" x14ac:dyDescent="0.45">
      <c r="H16" t="s">
        <v>24</v>
      </c>
    </row>
    <row r="18" spans="8:8" x14ac:dyDescent="0.45">
      <c r="H18" t="s">
        <v>23</v>
      </c>
    </row>
  </sheetData>
  <mergeCells count="3">
    <mergeCell ref="A3:J4"/>
    <mergeCell ref="J5:J9"/>
    <mergeCell ref="A1:I2"/>
  </mergeCells>
  <phoneticPr fontId="1" type="noConversion"/>
  <pageMargins left="0.7" right="0.7" top="0.75" bottom="0.75" header="0.3" footer="0.3"/>
  <pageSetup paperSize="9" scale="76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2025-08-22T11:03:27Z</cp:lastPrinted>
  <dcterms:created xsi:type="dcterms:W3CDTF">2015-06-05T18:19:34Z</dcterms:created>
  <dcterms:modified xsi:type="dcterms:W3CDTF">2026-06-25T12:02:23Z</dcterms:modified>
</cp:coreProperties>
</file>